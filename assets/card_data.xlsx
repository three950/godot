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cpyh\godot\assets\"/>
    </mc:Choice>
  </mc:AlternateContent>
  <xr:revisionPtr revIDLastSave="0" documentId="13_ncr:1_{E0E60709-C3FE-4763-8963-8933007D6B16}" xr6:coauthVersionLast="47" xr6:coauthVersionMax="47" xr10:uidLastSave="{00000000-0000-0000-0000-000000000000}"/>
  <bookViews>
    <workbookView xWindow="-21710" yWindow="-110" windowWidth="21820" windowHeight="13900" tabRatio="500" activeTab="1" xr2:uid="{00000000-000D-0000-FFFF-FFFF00000000}"/>
  </bookViews>
  <sheets>
    <sheet name="人物" sheetId="1" r:id="rId1"/>
    <sheet name="资源" sheetId="2" r:id="rId2"/>
    <sheet name="装备" sheetId="3" r:id="rId3"/>
    <sheet name="道具" sheetId="4" r:id="rId4"/>
    <sheet name="遗物" sheetId="5" r:id="rId5"/>
    <sheet name="建筑" sheetId="6" r:id="rId6"/>
    <sheet name="合成索引表" sheetId="7" r:id="rId7"/>
    <sheet name="read_me" sheetId="8" r:id="rId8"/>
    <sheet name="场景" sheetId="9" r:id="rId9"/>
    <sheet name="敌人" sheetId="10" r:id="rId10"/>
  </sheet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7" i="8" l="1"/>
  <c r="F6" i="8"/>
  <c r="F5" i="8"/>
  <c r="F4" i="8"/>
  <c r="F3" i="8"/>
  <c r="D7" i="4"/>
  <c r="D6" i="4"/>
  <c r="D5" i="4"/>
  <c r="D4" i="4"/>
  <c r="D3" i="4"/>
  <c r="F13" i="3"/>
  <c r="F9" i="3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<sst xmlns="http://schemas.openxmlformats.org/spreadsheetml/2006/main" count="408" uniqueCount="279">
  <si>
    <t>name</t>
  </si>
  <si>
    <t>HP</t>
  </si>
  <si>
    <t>ATK</t>
  </si>
  <si>
    <t>DEF</t>
  </si>
  <si>
    <t>left</t>
  </si>
  <si>
    <t>right</t>
  </si>
  <si>
    <t>bag1</t>
  </si>
  <si>
    <t>bag2</t>
  </si>
  <si>
    <t>bag3</t>
  </si>
  <si>
    <t>bag4</t>
  </si>
  <si>
    <t>bag5</t>
  </si>
  <si>
    <t>bag6</t>
  </si>
  <si>
    <t>picture_path</t>
  </si>
  <si>
    <t>speed</t>
  </si>
  <si>
    <t>add_fight_active_skill()</t>
  </si>
  <si>
    <t>莉可</t>
  </si>
  <si>
    <t>探窟稿</t>
  </si>
  <si>
    <t>便携锅</t>
  </si>
  <si>
    <t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</si>
  <si>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</si>
  <si>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>雷古</t>
  </si>
  <si>
    <t>res://assets/character/人物_雷古.png</t>
  </si>
  <si>
    <t xml:space="preserve">  {
    "技能名称": "火葬炮",
    "描述文本": "蓄力一回合后秒杀对面",
    "使用次数限制": 09
  }</t>
  </si>
  <si>
    <t>娜娜奇</t>
  </si>
  <si>
    <t>钓鱼竿</t>
  </si>
  <si>
    <t>res://assets/character/人物_娜娜奇.png</t>
  </si>
  <si>
    <t xml:space="preserve">意识（洞察） </t>
  </si>
  <si>
    <t xml:space="preserve">速度 </t>
  </si>
  <si>
    <t>生命</t>
  </si>
  <si>
    <t>闪避</t>
  </si>
  <si>
    <t>名称</t>
  </si>
  <si>
    <t>类型</t>
  </si>
  <si>
    <t>food</t>
  </si>
  <si>
    <t>water</t>
  </si>
  <si>
    <t>effect</t>
  </si>
  <si>
    <t>合成配方</t>
  </si>
  <si>
    <t>索引值</t>
  </si>
  <si>
    <t>value</t>
  </si>
  <si>
    <t>是否是遗物</t>
  </si>
  <si>
    <t>鱼</t>
  </si>
  <si>
    <t>食物</t>
  </si>
  <si>
    <t>res://assets/resources/fish</t>
  </si>
  <si>
    <t>肉</t>
  </si>
  <si>
    <t>res://assets/resources/meat</t>
  </si>
  <si>
    <t>永恒香</t>
  </si>
  <si>
    <t>调料</t>
  </si>
  <si>
    <t>after_cook:food+2</t>
  </si>
  <si>
    <t>res://icon.svg</t>
  </si>
  <si>
    <t>蛋</t>
  </si>
  <si>
    <t>水</t>
  </si>
  <si>
    <t>烤鱼</t>
  </si>
  <si>
    <t>鱼*火</t>
  </si>
  <si>
    <t>烤肉</t>
  </si>
  <si>
    <t>肉*火</t>
  </si>
  <si>
    <t>熟蛋</t>
  </si>
  <si>
    <t>鸡蛋*水*火*便携锅</t>
  </si>
  <si>
    <t>鱼汤</t>
  </si>
  <si>
    <t>鱼*水*火*便携锅</t>
  </si>
  <si>
    <t>拟态水</t>
  </si>
  <si>
    <t>火</t>
  </si>
  <si>
    <t>石板</t>
  </si>
  <si>
    <t>防具</t>
  </si>
  <si>
    <t>DEF+10</t>
  </si>
  <si>
    <t>FLASE</t>
  </si>
  <si>
    <t>res://assets\equipment\armour防具\盾牌</t>
  </si>
  <si>
    <t>石块</t>
  </si>
  <si>
    <t>武器</t>
  </si>
  <si>
    <t>ATK+2</t>
  </si>
  <si>
    <t>res://assets\equipment\weapon\锥</t>
  </si>
  <si>
    <t>骨头</t>
  </si>
  <si>
    <t>ATK+1</t>
  </si>
  <si>
    <t>ATK+5</t>
  </si>
  <si>
    <t>化石树的树枝*石块</t>
  </si>
  <si>
    <t>骨弓</t>
  </si>
  <si>
    <t>ATK+9</t>
  </si>
  <si>
    <t>祈愿者的盖子</t>
  </si>
  <si>
    <t>DEF+5</t>
  </si>
  <si>
    <t>化石树的树枝</t>
  </si>
  <si>
    <t>ATK+3</t>
  </si>
  <si>
    <t>“无尽锤”</t>
  </si>
  <si>
    <t>ATK+30</t>
  </si>
  <si>
    <t>双手稿*无尽火药</t>
  </si>
  <si>
    <t>太阳稿</t>
  </si>
  <si>
    <t>ATK+8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</si>
  <si>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四级</t>
    </r>
    <r>
      <rPr>
        <sz val="10.5"/>
        <color rgb="FF000000"/>
        <rFont val="宋体"/>
        <charset val="1"/>
      </rPr>
      <t>太阳石</t>
    </r>
  </si>
  <si>
    <t>双手稿</t>
  </si>
  <si>
    <t>ATK+10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</si>
  <si>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charset val="1"/>
      </rPr>
      <t>化石树的树枝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五级</t>
    </r>
    <r>
      <rPr>
        <sz val="10.5"/>
        <color rgb="FF000000"/>
        <rFont val="宋体"/>
        <charset val="1"/>
      </rPr>
      <t>太阳石</t>
    </r>
  </si>
  <si>
    <t>石斧</t>
  </si>
  <si>
    <t>ATK+12</t>
  </si>
  <si>
    <t>化石树的树枝*石板</t>
  </si>
  <si>
    <t>鳞石伞</t>
  </si>
  <si>
    <t>DEF+15</t>
  </si>
  <si>
    <t>描述文本</t>
  </si>
  <si>
    <t>使用次数限制</t>
  </si>
  <si>
    <t>VALUE</t>
  </si>
  <si>
    <t>装备时</t>
  </si>
  <si>
    <t>战斗中使用</t>
  </si>
  <si>
    <t>使用效果</t>
  </si>
  <si>
    <t>使用对象</t>
  </si>
  <si>
    <t>可以钓鱼</t>
  </si>
  <si>
    <t>为角色添加fast_fish属性</t>
  </si>
  <si>
    <t>时间静止之钟</t>
  </si>
  <si>
    <t>停止时间</t>
  </si>
  <si>
    <t>无限次</t>
  </si>
  <si>
    <t>嘲讽敌人一回合（隐藏：使所有敌人跳过一回合）</t>
  </si>
  <si>
    <t>全体敌人</t>
  </si>
  <si>
    <t>嵌入身体可以获得一千个人的力量</t>
  </si>
  <si>
    <t>ATK+100,DEF+5.一次性:HP-5</t>
  </si>
  <si>
    <t>白笛</t>
  </si>
  <si>
    <t>可以激发遗物的真正技能</t>
  </si>
  <si>
    <t>使有隐藏功能的遗物发挥真正技能，吹奏后需要休息两回合</t>
  </si>
  <si>
    <t>遗物</t>
  </si>
  <si>
    <t>赋予黑暗的灯</t>
  </si>
  <si>
    <t>被光芒直射会导致短暂失明</t>
  </si>
  <si>
    <t>65%概率时敌人致盲</t>
  </si>
  <si>
    <t>诅咒针</t>
  </si>
  <si>
    <t>使对象收到相当于当前层数的诅咒效果</t>
  </si>
  <si>
    <t>收到当前层数的上升诅咒</t>
  </si>
  <si>
    <t>单个敌人</t>
  </si>
  <si>
    <t>等级</t>
  </si>
  <si>
    <t>效果</t>
  </si>
  <si>
    <t>属性</t>
  </si>
  <si>
    <t>only</t>
  </si>
  <si>
    <t>无尽锤</t>
  </si>
  <si>
    <t>敲击时产生爆炸造成大量伤害</t>
  </si>
  <si>
    <t>无尽火药</t>
  </si>
  <si>
    <t>无尽的火</t>
  </si>
  <si>
    <t>四级太阳石</t>
  </si>
  <si>
    <t>独特的外观吸引商人花大价钱购买</t>
  </si>
  <si>
    <t>五级太阳石</t>
  </si>
  <si>
    <t>星之罗盘</t>
  </si>
  <si>
    <t>免疫迷失</t>
  </si>
  <si>
    <t>愿望蛋</t>
  </si>
  <si>
    <t>不明</t>
  </si>
  <si>
    <t>据说可以实现任何人的任何愿望</t>
  </si>
  <si>
    <t>容纳人数</t>
  </si>
  <si>
    <t>需常驻人数</t>
  </si>
  <si>
    <t>可出现场景</t>
  </si>
  <si>
    <t>营地</t>
  </si>
  <si>
    <t>友好</t>
  </si>
  <si>
    <t>每一层</t>
  </si>
  <si>
    <t>守望基地</t>
  </si>
  <si>
    <t>绿色的小屋</t>
  </si>
  <si>
    <t>Layer_4</t>
  </si>
  <si>
    <t>黄金乡</t>
  </si>
  <si>
    <t>Layer_7</t>
  </si>
  <si>
    <t>特性:固定在场景中，不可移动，友好:可被堆叠。中立:堆叠后触发变化</t>
  </si>
  <si>
    <t>需要设定合成的时间</t>
  </si>
  <si>
    <t>生鱼</t>
  </si>
  <si>
    <t>生肉</t>
  </si>
  <si>
    <t>卡片类型信息表</t>
  </si>
  <si>
    <t>卡片类型</t>
  </si>
  <si>
    <t>类型说明</t>
  </si>
  <si>
    <t>允许被堆叠的类型</t>
  </si>
  <si>
    <t>堆叠触发函数</t>
  </si>
  <si>
    <t>允许的状态</t>
  </si>
  <si>
    <t>是否是物品（可在商店出售，有价值，可放背包）</t>
  </si>
  <si>
    <t>函数详细效果说明</t>
  </si>
  <si>
    <t>场景</t>
  </si>
  <si>
    <t>获取资源的途径，固定在地图上，只有人物能堆叠，堆叠后每过五秒会根据概率出现一个产物</t>
  </si>
  <si>
    <t>人物</t>
  </si>
  <si>
    <t>find()</t>
  </si>
  <si>
    <t>"fixed,bestacked"</t>
  </si>
  <si>
    <t>time后，根据可生成卡片数组和概率，生成新卡片</t>
  </si>
  <si>
    <t>资源</t>
  </si>
  <si>
    <t>包括调料和食物</t>
  </si>
  <si>
    <t>synthesis()</t>
  </si>
  <si>
    <t>"fixed,dragging,bestacked"</t>
  </si>
  <si>
    <t>根据已有卡片的乘积寻找组合，如果有合成路径，time后生成新卡片，同时会删除原组合中的所有卡片</t>
  </si>
  <si>
    <t>道具</t>
  </si>
  <si>
    <t>具有各种特殊效果,没法合成</t>
  </si>
  <si>
    <t>无</t>
  </si>
  <si>
    <t>-</t>
  </si>
  <si>
    <t>"fixed,dragging"</t>
  </si>
  <si>
    <t>装备</t>
  </si>
  <si>
    <t>有防具和武器，可以和遗物合成新的装备，本身可以是遗物</t>
  </si>
  <si>
    <t>"遗物,装备"</t>
  </si>
  <si>
    <t>建筑</t>
  </si>
  <si>
    <t>容纳探窟者休息，固定在场景中。不同layer会出现不同建筑。</t>
  </si>
  <si>
    <t>rest()</t>
  </si>
  <si>
    <t>fixed</t>
  </si>
  <si>
    <t>rest()在夜晚结算时，食物和水补充的情况下，恢复生命</t>
  </si>
  <si>
    <t>被动道具</t>
  </si>
  <si>
    <t>TURE</t>
  </si>
  <si>
    <t>领地意识:远程角色主动出击时不会反击</t>
  </si>
  <si>
    <t>群居：主动出击时会在一回合后增加3个同类加入战斗。被动应战时会一次出现三个，总共出现9个</t>
  </si>
  <si>
    <t>战斗：①我方回合进行②我方回合结束③敌方回合开始④敌方回合结束</t>
  </si>
  <si>
    <t>束缚：使n回合无法行动</t>
  </si>
  <si>
    <t>战斗异常</t>
  </si>
  <si>
    <t>流血：每回合结束时扣除对应层数的生命</t>
  </si>
  <si>
    <t>失明：命中率降低80%，持续n回合</t>
  </si>
  <si>
    <t>头晕：命中率降低10%</t>
  </si>
  <si>
    <t>上升诅咒1</t>
  </si>
  <si>
    <t>恶心：命中率降低30%，ATK-30%</t>
  </si>
  <si>
    <t>麻痹：ATK-80%，n+1回合行动一次</t>
  </si>
  <si>
    <t>失衡幻听：无法行动</t>
  </si>
  <si>
    <r>
      <rPr>
        <sz val="10"/>
        <color rgb="FF000000"/>
        <rFont val="等线"/>
        <charset val="1"/>
      </rPr>
      <t>七窍流血：随时间推移失去</t>
    </r>
    <r>
      <rPr>
        <sz val="10"/>
        <color rgb="FF000000"/>
        <rFont val="Times New Roman"/>
        <family val="1"/>
        <charset val="134"/>
      </rPr>
      <t>95%</t>
    </r>
    <r>
      <rPr>
        <sz val="10"/>
        <color rgb="FF000000"/>
        <rFont val="等线"/>
        <charset val="1"/>
      </rPr>
      <t>的</t>
    </r>
    <r>
      <rPr>
        <sz val="10"/>
        <color rgb="FF000000"/>
        <rFont val="Times New Roman"/>
        <family val="1"/>
        <charset val="134"/>
      </rPr>
      <t>HP</t>
    </r>
  </si>
  <si>
    <t>五感丧失：永久失去行动能力</t>
  </si>
  <si>
    <t>极度混乱：永久自残或伤害他人</t>
  </si>
  <si>
    <t>生骸：丧失人性</t>
  </si>
  <si>
    <t>死亡：永久死亡</t>
  </si>
  <si>
    <t>鼓舞：ATK提高30%</t>
  </si>
  <si>
    <t>正面效果</t>
  </si>
  <si>
    <t>白笛激发：激发遗物真正的功能</t>
  </si>
  <si>
    <t>免疫诅咒：免疫n层诅咒效果</t>
  </si>
  <si>
    <t>出现概率</t>
  </si>
  <si>
    <t>河流</t>
  </si>
  <si>
    <t>res://assets/terrain小地形/河流</t>
  </si>
  <si>
    <t>小洞穴</t>
  </si>
  <si>
    <t>res://assets/terrain小地形/小洞穴</t>
  </si>
  <si>
    <t>草原</t>
  </si>
  <si>
    <t>出现地点</t>
  </si>
  <si>
    <t>特性</t>
  </si>
  <si>
    <t>掉落物</t>
  </si>
  <si>
    <t>攻击模式</t>
  </si>
  <si>
    <t>可被驯服</t>
  </si>
  <si>
    <t>敌人</t>
  </si>
  <si>
    <t xml:space="preserve">毒针线虫 </t>
  </si>
  <si>
    <t>layer1</t>
  </si>
  <si>
    <t>领地意识</t>
  </si>
  <si>
    <t>蛛丝</t>
  </si>
  <si>
    <t>毒液</t>
  </si>
  <si>
    <t>[{“单体””伤害”:6},{“单体”“施加效果”:吐蛛丝}]</t>
  </si>
  <si>
    <t xml:space="preserve">槌嘴鸟 </t>
  </si>
  <si>
    <t>Layer1-4</t>
  </si>
  <si>
    <r>
      <rPr>
        <sz val="11"/>
        <color rgb="FF000000"/>
        <rFont val="等线"/>
        <charset val="1"/>
      </rPr>
      <t>骨头,鸟肉,</t>
    </r>
    <r>
      <rPr>
        <sz val="11"/>
        <color rgb="FF000000"/>
        <rFont val="等线"/>
      </rPr>
      <t>打火石</t>
    </r>
  </si>
  <si>
    <t xml:space="preserve">泣尸鸟 </t>
  </si>
  <si>
    <t>layer2</t>
  </si>
  <si>
    <t>群居</t>
  </si>
  <si>
    <t>捕捉动物并起飞使其受到上升诅咒</t>
  </si>
  <si>
    <t>幼鸟</t>
  </si>
  <si>
    <t xml:space="preserve">血口大蛇 </t>
  </si>
  <si>
    <t>Layer1-3</t>
  </si>
  <si>
    <t xml:space="preserve">捕风猴 </t>
  </si>
  <si>
    <t>领地意识,群居</t>
  </si>
  <si>
    <t>扔石头</t>
  </si>
  <si>
    <t>毯毯鼠</t>
  </si>
  <si>
    <t>layer3</t>
  </si>
  <si>
    <t>鲜美的肉</t>
  </si>
  <si>
    <t xml:space="preserve">穿弹兽 </t>
  </si>
  <si>
    <t>layer4</t>
  </si>
  <si>
    <t>领地意识,百分百闪避</t>
  </si>
  <si>
    <t>毒针*50</t>
  </si>
  <si>
    <t>穿刺，中毒</t>
  </si>
  <si>
    <t xml:space="preserve">鬼锤嘴鸟 </t>
  </si>
  <si>
    <t xml:space="preserve">竹熊 </t>
  </si>
  <si>
    <t>水菇</t>
  </si>
  <si>
    <t xml:space="preserve">七条尾巴的大蝎子 </t>
  </si>
  <si>
    <t>layer5</t>
  </si>
  <si>
    <t>巢穴</t>
  </si>
  <si>
    <t>溶骨毒</t>
  </si>
  <si>
    <t xml:space="preserve">龙鬃螺鸩 </t>
  </si>
  <si>
    <t>layer6</t>
  </si>
  <si>
    <t>鳞甲有毒，</t>
  </si>
  <si>
    <t xml:space="preserve">空前蜥 </t>
  </si>
  <si>
    <t>异常美味的蛋</t>
  </si>
  <si>
    <t>力量</t>
    <phoneticPr fontId="16" type="noConversion"/>
  </si>
  <si>
    <t>减少探窟时候遇敌和陷阱的概率</t>
    <phoneticPr fontId="16" type="noConversion"/>
  </si>
  <si>
    <r>
      <rPr>
        <sz val="10"/>
        <color theme="1"/>
        <rFont val="Noto Sans SC"/>
        <family val="2"/>
        <charset val="134"/>
      </rPr>
      <t>护甲值</t>
    </r>
    <r>
      <rPr>
        <sz val="10"/>
        <color theme="1"/>
        <rFont val="Segoe UI"/>
        <family val="2"/>
      </rPr>
      <t xml:space="preserve"> </t>
    </r>
    <phoneticPr fontId="16" type="noConversion"/>
  </si>
  <si>
    <t>由意识和速度共同影响</t>
    <phoneticPr fontId="16" type="noConversion"/>
  </si>
  <si>
    <t>影响闪避和探窟的耗时，会被力量和背包重量影响</t>
    <phoneticPr fontId="16" type="noConversion"/>
  </si>
  <si>
    <t>可以通过食物提高最大生命值</t>
    <phoneticPr fontId="16" type="noConversion"/>
  </si>
  <si>
    <t>影响近战武器的判断成功率，可以通过食物提高</t>
    <phoneticPr fontId="16" type="noConversion"/>
  </si>
  <si>
    <t>攻击速度</t>
    <phoneticPr fontId="16" type="noConversion"/>
  </si>
  <si>
    <t>近战武器由速度决定，远程武器攻击速度固定</t>
    <phoneticPr fontId="16" type="noConversion"/>
  </si>
  <si>
    <t>战斗相关</t>
    <phoneticPr fontId="16" type="noConversion"/>
  </si>
  <si>
    <t>意识</t>
    <phoneticPr fontId="16" type="noConversion"/>
  </si>
  <si>
    <t>①添加额外属性，在探索时检查，如钓鱼竿，望远镜，心之罗盘</t>
    <phoneticPr fontId="16" type="noConversion"/>
  </si>
  <si>
    <t>②强化数值，千人这类，身体强化，一次性的，添加数值，没必要取下来</t>
    <phoneticPr fontId="16" type="noConversion"/>
  </si>
  <si>
    <t>④添加战斗时双方效果，黑暗灯，诅咒针</t>
    <phoneticPr fontId="16" type="noConversion"/>
  </si>
  <si>
    <t>堆叠</t>
    <phoneticPr fontId="16" type="noConversion"/>
  </si>
  <si>
    <t>装备背包</t>
    <phoneticPr fontId="16" type="noConversion"/>
  </si>
  <si>
    <t>装备左右手</t>
    <phoneticPr fontId="16" type="noConversion"/>
  </si>
  <si>
    <t>也属于装备-》</t>
    <phoneticPr fontId="16" type="noConversion"/>
  </si>
  <si>
    <t>道具-》</t>
    <phoneticPr fontId="16" type="noConversion"/>
  </si>
  <si>
    <t>特殊卡片，和人堆叠产生不同效果</t>
    <phoneticPr fontId="16" type="noConversion"/>
  </si>
  <si>
    <t xml:space="preserve">千人楔 </t>
    <phoneticPr fontId="16" type="noConversion"/>
  </si>
  <si>
    <t>骨头*骨头*蛛丝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</si>
</sst>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rgb="FF000000"/>
      <name val="等线"/>
      <charset val="1"/>
    </font>
    <font>
      <sz val="11"/>
      <color theme="1"/>
      <name val="宋体"/>
      <charset val="1"/>
    </font>
    <font>
      <sz val="11"/>
      <color rgb="FF000000"/>
      <name val="宋体"/>
      <charset val="1"/>
    </font>
    <font>
      <sz val="10"/>
      <color theme="1"/>
      <name val="Segoe UI"/>
      <family val="2"/>
      <charset val="134"/>
    </font>
    <font>
      <b/>
      <sz val="11"/>
      <color rgb="FF000000"/>
      <name val="等线"/>
      <charset val="1"/>
    </font>
    <font>
      <sz val="11"/>
      <color theme="1"/>
      <name val="宋体"/>
      <family val="3"/>
      <charset val="134"/>
    </font>
    <font>
      <sz val="11"/>
      <color rgb="FF000000"/>
      <name val="宋体"/>
      <family val="3"/>
      <charset val="134"/>
    </font>
    <font>
      <sz val="10.5"/>
      <color rgb="FF000000"/>
      <name val="宋体"/>
      <charset val="1"/>
    </font>
    <font>
      <sz val="10.5"/>
      <color rgb="FF000000"/>
      <name val="宋体"/>
      <family val="3"/>
      <charset val="134"/>
    </font>
    <font>
      <sz val="10.5"/>
      <color rgb="FF000000"/>
      <name val="Calibri"/>
      <charset val="1"/>
    </font>
    <font>
      <b/>
      <sz val="14"/>
      <color rgb="FF000000"/>
      <name val="Microsoft YaHei"/>
      <charset val="1"/>
    </font>
    <font>
      <b/>
      <sz val="12"/>
      <color rgb="FF000000"/>
      <name val="Microsoft YaHei"/>
      <charset val="1"/>
    </font>
    <font>
      <sz val="11"/>
      <color rgb="FF000000"/>
      <name val="Microsoft YaHei"/>
      <charset val="1"/>
    </font>
    <font>
      <sz val="11"/>
      <color rgb="FF000000"/>
      <name val="等线"/>
    </font>
    <font>
      <sz val="10"/>
      <color rgb="FF000000"/>
      <name val="等线"/>
      <charset val="1"/>
    </font>
    <font>
      <sz val="10"/>
      <color rgb="FF000000"/>
      <name val="Times New Roman"/>
      <family val="1"/>
      <charset val="134"/>
    </font>
    <font>
      <sz val="9"/>
      <name val="宋体"/>
      <family val="3"/>
      <charset val="134"/>
    </font>
    <font>
      <sz val="10"/>
      <color theme="1"/>
      <name val="Noto Sans SC"/>
      <family val="2"/>
      <charset val="134"/>
    </font>
    <font>
      <sz val="10"/>
      <color theme="1"/>
      <name val="Segoe UI"/>
      <family val="2"/>
    </font>
    <font>
      <sz val="11"/>
      <color rgb="FF000000"/>
      <name val="等线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9" tint="0.79989013336588644"/>
        <bgColor rgb="FFDAE3F3"/>
      </patternFill>
    </fill>
    <fill>
      <patternFill patternType="solid">
        <fgColor theme="8" tint="0.79989013336588644"/>
        <bgColor rgb="FFE2F0D9"/>
      </patternFill>
    </fill>
    <fill>
      <patternFill patternType="solid">
        <fgColor rgb="FFE8F2A1"/>
        <bgColor rgb="FFFFFFA6"/>
      </patternFill>
    </fill>
    <fill>
      <patternFill patternType="solid">
        <fgColor rgb="FFFFD8CE"/>
        <bgColor rgb="FFE2F0D9"/>
      </patternFill>
    </fill>
    <fill>
      <patternFill patternType="solid">
        <fgColor rgb="FFFFFFD7"/>
        <bgColor rgb="FFFFFFA6"/>
      </patternFill>
    </fill>
    <fill>
      <patternFill patternType="solid">
        <fgColor rgb="FFFFFF6D"/>
        <bgColor rgb="FFFFFF38"/>
      </patternFill>
    </fill>
    <fill>
      <patternFill patternType="solid">
        <fgColor rgb="FFFFFFA6"/>
        <bgColor rgb="FFE8F2A1"/>
      </patternFill>
    </fill>
    <fill>
      <patternFill patternType="solid">
        <fgColor rgb="FFFFFF38"/>
        <bgColor rgb="FFFFFF6D"/>
      </patternFill>
    </fill>
    <fill>
      <patternFill patternType="solid">
        <fgColor rgb="FFACB20C"/>
        <bgColor rgb="FF77BC65"/>
      </patternFill>
    </fill>
    <fill>
      <patternFill patternType="solid">
        <fgColor rgb="FF706E0C"/>
        <bgColor rgb="FF808080"/>
      </patternFill>
    </fill>
    <fill>
      <patternFill patternType="solid">
        <fgColor rgb="FF77BC65"/>
        <bgColor rgb="FFACB20C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justify"/>
    </xf>
    <xf numFmtId="0" fontId="8" fillId="0" borderId="0" xfId="0" applyFont="1" applyAlignment="1">
      <alignment horizontal="justify"/>
    </xf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3" borderId="0" xfId="0" applyFill="1"/>
    <xf numFmtId="0" fontId="7" fillId="3" borderId="0" xfId="0" applyFont="1" applyFill="1" applyAlignment="1">
      <alignment horizontal="justify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wrapText="1"/>
    </xf>
    <xf numFmtId="0" fontId="0" fillId="4" borderId="0" xfId="0" applyFill="1"/>
    <xf numFmtId="0" fontId="13" fillId="5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4" fillId="9" borderId="0" xfId="0" applyFont="1" applyFill="1"/>
    <xf numFmtId="0" fontId="0" fillId="10" borderId="0" xfId="0" applyFill="1"/>
    <xf numFmtId="0" fontId="0" fillId="11" borderId="0" xfId="0" applyFill="1"/>
    <xf numFmtId="9" fontId="1" fillId="0" borderId="0" xfId="0" applyNumberFormat="1" applyFont="1" applyAlignment="1">
      <alignment vertical="center"/>
    </xf>
    <xf numFmtId="0" fontId="14" fillId="0" borderId="0" xfId="0" applyFont="1"/>
    <xf numFmtId="0" fontId="0" fillId="12" borderId="0" xfId="0" applyFill="1" applyAlignment="1">
      <alignment wrapText="1"/>
    </xf>
    <xf numFmtId="0" fontId="0" fillId="9" borderId="0" xfId="0" applyFill="1" applyAlignment="1">
      <alignment wrapText="1"/>
    </xf>
    <xf numFmtId="0" fontId="14" fillId="12" borderId="0" xfId="0" applyFont="1" applyFill="1"/>
    <xf numFmtId="0" fontId="1" fillId="13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3" fillId="13" borderId="0" xfId="0" applyFont="1" applyFill="1" applyAlignment="1">
      <alignment vertical="center"/>
    </xf>
    <xf numFmtId="0" fontId="19" fillId="0" borderId="0" xfId="0" applyFont="1"/>
    <xf numFmtId="0" fontId="19" fillId="0" borderId="0" xfId="0" applyFont="1" applyAlignment="1">
      <alignment wrapText="1"/>
    </xf>
    <xf numFmtId="0" fontId="10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E8F2A1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AE3F3"/>
      <rgbColor rgb="FF000080"/>
      <rgbColor rgb="FFFF00FF"/>
      <rgbColor rgb="FFFFFF6D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A6"/>
      <rgbColor rgb="FF99CCFF"/>
      <rgbColor rgb="FFFF99CC"/>
      <rgbColor rgb="FFCC99FF"/>
      <rgbColor rgb="FFFFD8CE"/>
      <rgbColor rgb="FF3366FF"/>
      <rgbColor rgb="FF33CCCC"/>
      <rgbColor rgb="FFACB20C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zoomScaleNormal="100" workbookViewId="0">
      <selection activeCell="H4" sqref="H4"/>
    </sheetView>
  </sheetViews>
  <sheetFormatPr defaultColWidth="10" defaultRowHeight="14.25" customHeight="1"/>
  <cols>
    <col min="1" max="3" width="10" style="1"/>
    <col min="4" max="4" width="4.5" style="1" bestFit="1" customWidth="1"/>
    <col min="5" max="5" width="4.5" style="1" customWidth="1"/>
    <col min="6" max="6" width="11" style="1" customWidth="1"/>
    <col min="14" max="15" width="10" style="1"/>
    <col min="21" max="21" width="24.75" style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6" t="s">
        <v>267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s="1" t="s">
        <v>12</v>
      </c>
      <c r="O1" s="1" t="s">
        <v>13</v>
      </c>
      <c r="U1" s="1" t="s">
        <v>14</v>
      </c>
    </row>
    <row r="2" spans="1:21" ht="94.5">
      <c r="A2" s="1" t="s">
        <v>15</v>
      </c>
      <c r="B2" s="1">
        <v>10</v>
      </c>
      <c r="C2" s="1">
        <v>1</v>
      </c>
      <c r="D2" s="1">
        <v>0</v>
      </c>
      <c r="E2" s="1">
        <v>80</v>
      </c>
      <c r="G2" s="1" t="s">
        <v>16</v>
      </c>
      <c r="H2" s="2" t="s">
        <v>17</v>
      </c>
      <c r="N2" s="1" t="s">
        <v>18</v>
      </c>
      <c r="U2" s="3" t="s">
        <v>19</v>
      </c>
    </row>
    <row r="3" spans="1:21" ht="81">
      <c r="A3" s="1" t="s">
        <v>20</v>
      </c>
      <c r="B3" s="1">
        <v>50</v>
      </c>
      <c r="C3" s="1">
        <v>5</v>
      </c>
      <c r="D3" s="1">
        <v>50</v>
      </c>
      <c r="E3" s="1">
        <v>20</v>
      </c>
      <c r="N3" s="1" t="s">
        <v>21</v>
      </c>
      <c r="U3" s="3" t="s">
        <v>22</v>
      </c>
    </row>
    <row r="4" spans="1:21">
      <c r="A4" s="1" t="s">
        <v>23</v>
      </c>
      <c r="B4" s="1">
        <v>30</v>
      </c>
      <c r="C4" s="1">
        <v>8</v>
      </c>
      <c r="D4" s="1">
        <v>5</v>
      </c>
      <c r="E4" s="1">
        <v>100</v>
      </c>
      <c r="F4" s="1" t="s">
        <v>24</v>
      </c>
      <c r="N4" s="1" t="s">
        <v>25</v>
      </c>
    </row>
    <row r="7" spans="1:21" ht="14.25" customHeight="1">
      <c r="A7" s="6" t="s">
        <v>257</v>
      </c>
      <c r="B7" s="6" t="s">
        <v>263</v>
      </c>
      <c r="F7" s="6"/>
    </row>
    <row r="8" spans="1:21" ht="14.25" customHeight="1">
      <c r="A8" s="4" t="s">
        <v>26</v>
      </c>
      <c r="B8" s="6" t="s">
        <v>258</v>
      </c>
    </row>
    <row r="9" spans="1:21" ht="14.25" customHeight="1">
      <c r="A9" s="5" t="s">
        <v>27</v>
      </c>
      <c r="B9" s="6" t="s">
        <v>261</v>
      </c>
    </row>
    <row r="10" spans="1:21" ht="14.25" customHeight="1">
      <c r="A10" s="1" t="s">
        <v>28</v>
      </c>
      <c r="B10" s="6" t="s">
        <v>262</v>
      </c>
    </row>
    <row r="11" spans="1:21" ht="14.25" customHeight="1">
      <c r="A11" s="35" t="s">
        <v>29</v>
      </c>
      <c r="B11" s="36" t="s">
        <v>260</v>
      </c>
      <c r="C11" s="35"/>
      <c r="G11" s="38" t="s">
        <v>266</v>
      </c>
    </row>
    <row r="12" spans="1:21" ht="14.25" customHeight="1">
      <c r="A12" s="37" t="s">
        <v>259</v>
      </c>
      <c r="B12" s="35"/>
      <c r="C12" s="35"/>
    </row>
    <row r="13" spans="1:21" ht="14.25" customHeight="1">
      <c r="A13" s="6" t="s">
        <v>264</v>
      </c>
      <c r="B13" s="6" t="s">
        <v>265</v>
      </c>
    </row>
    <row r="14" spans="1:21" ht="14.25" customHeight="1">
      <c r="A14" s="6"/>
    </row>
    <row r="15" spans="1:21" ht="14.25" customHeight="1">
      <c r="A15" s="6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tabSelected="1" zoomScale="110" zoomScaleNormal="110" workbookViewId="0">
      <selection activeCell="J23" sqref="J23"/>
    </sheetView>
  </sheetViews>
  <sheetFormatPr defaultColWidth="10" defaultRowHeight="14.25" customHeight="1"/>
  <cols>
    <col min="1" max="1" width="8.875" style="1" customWidth="1"/>
    <col min="2" max="2" width="5.125" style="1" customWidth="1"/>
    <col min="3" max="3" width="5.375" style="1" customWidth="1"/>
    <col min="4" max="4" width="6.375" style="1" customWidth="1"/>
    <col min="5" max="5" width="19.75" style="1" customWidth="1"/>
    <col min="6" max="6" width="14.125" style="1" customWidth="1"/>
    <col min="7" max="8" width="6.375" style="1" customWidth="1"/>
    <col min="9" max="9" width="10.875" style="1" customWidth="1"/>
    <col min="10" max="10" width="30.375" style="1" customWidth="1"/>
  </cols>
  <sheetData>
    <row r="1" spans="1:10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12</v>
      </c>
    </row>
    <row r="2" spans="1:10">
      <c r="A2" s="1" t="s">
        <v>39</v>
      </c>
      <c r="B2" s="1" t="s">
        <v>40</v>
      </c>
      <c r="C2" s="1">
        <v>1</v>
      </c>
      <c r="D2" s="1">
        <v>0</v>
      </c>
      <c r="G2" s="1">
        <v>1</v>
      </c>
      <c r="H2" s="1">
        <v>1</v>
      </c>
      <c r="I2" s="1" t="b">
        <f>FALSE()</f>
        <v>0</v>
      </c>
      <c r="J2" s="1" t="s">
        <v>41</v>
      </c>
    </row>
    <row r="3" spans="1:10">
      <c r="A3" s="1" t="s">
        <v>42</v>
      </c>
      <c r="B3" s="1" t="s">
        <v>40</v>
      </c>
      <c r="C3" s="1">
        <v>1</v>
      </c>
      <c r="D3" s="1">
        <v>0</v>
      </c>
      <c r="G3" s="1">
        <v>2</v>
      </c>
      <c r="H3" s="1">
        <v>1</v>
      </c>
      <c r="I3" s="1" t="b">
        <f>FALSE()</f>
        <v>0</v>
      </c>
      <c r="J3" s="1" t="s">
        <v>43</v>
      </c>
    </row>
    <row r="4" spans="1:10">
      <c r="A4" s="1" t="s">
        <v>44</v>
      </c>
      <c r="B4" s="1" t="s">
        <v>45</v>
      </c>
      <c r="C4" s="1">
        <v>0</v>
      </c>
      <c r="D4" s="1">
        <v>0</v>
      </c>
      <c r="E4" s="2" t="s">
        <v>46</v>
      </c>
      <c r="G4" s="1">
        <v>3</v>
      </c>
      <c r="H4" s="1">
        <v>2</v>
      </c>
      <c r="I4" s="1" t="b">
        <f>FALSE()</f>
        <v>0</v>
      </c>
      <c r="J4" s="1" t="s">
        <v>47</v>
      </c>
    </row>
    <row r="5" spans="1:10">
      <c r="A5" s="1" t="s">
        <v>48</v>
      </c>
      <c r="B5" s="1" t="s">
        <v>45</v>
      </c>
      <c r="C5" s="1">
        <v>0</v>
      </c>
      <c r="D5" s="1">
        <v>0</v>
      </c>
      <c r="G5" s="1">
        <v>4</v>
      </c>
      <c r="H5" s="1">
        <v>3</v>
      </c>
      <c r="I5" s="1" t="b">
        <f>FALSE()</f>
        <v>0</v>
      </c>
      <c r="J5" s="1" t="s">
        <v>47</v>
      </c>
    </row>
    <row r="6" spans="1:10">
      <c r="A6" s="2" t="s">
        <v>49</v>
      </c>
      <c r="B6" s="1" t="s">
        <v>45</v>
      </c>
      <c r="C6" s="1">
        <v>0</v>
      </c>
      <c r="D6" s="1">
        <v>2</v>
      </c>
      <c r="G6" s="1">
        <v>5</v>
      </c>
      <c r="H6" s="1">
        <v>0</v>
      </c>
      <c r="I6" s="1" t="b">
        <f>FALSE()</f>
        <v>0</v>
      </c>
      <c r="J6" s="1" t="s">
        <v>47</v>
      </c>
    </row>
    <row r="7" spans="1:10">
      <c r="A7" s="1" t="s">
        <v>50</v>
      </c>
      <c r="B7" s="1" t="s">
        <v>40</v>
      </c>
      <c r="C7" s="1">
        <v>2</v>
      </c>
      <c r="D7" s="1">
        <v>0</v>
      </c>
      <c r="F7" s="1" t="s">
        <v>51</v>
      </c>
      <c r="G7" s="1">
        <v>6</v>
      </c>
      <c r="H7" s="1">
        <v>5</v>
      </c>
      <c r="I7" s="1" t="b">
        <f>FALSE()</f>
        <v>0</v>
      </c>
      <c r="J7" s="1" t="s">
        <v>47</v>
      </c>
    </row>
    <row r="8" spans="1:10">
      <c r="A8" s="1" t="s">
        <v>52</v>
      </c>
      <c r="B8" s="1" t="s">
        <v>40</v>
      </c>
      <c r="C8" s="1">
        <v>2</v>
      </c>
      <c r="D8" s="1">
        <v>0</v>
      </c>
      <c r="F8" s="1" t="s">
        <v>53</v>
      </c>
      <c r="G8" s="1">
        <v>7</v>
      </c>
      <c r="H8" s="1">
        <v>5</v>
      </c>
      <c r="I8" s="1" t="b">
        <f>FALSE()</f>
        <v>0</v>
      </c>
      <c r="J8" s="1" t="s">
        <v>47</v>
      </c>
    </row>
    <row r="9" spans="1:10">
      <c r="A9" s="1" t="s">
        <v>54</v>
      </c>
      <c r="B9" s="1" t="s">
        <v>40</v>
      </c>
      <c r="C9" s="1">
        <v>6</v>
      </c>
      <c r="D9" s="1">
        <v>1</v>
      </c>
      <c r="F9" s="6" t="s">
        <v>55</v>
      </c>
      <c r="G9" s="1">
        <v>8</v>
      </c>
      <c r="H9" s="1">
        <v>10</v>
      </c>
      <c r="I9" s="1" t="b">
        <f>FALSE()</f>
        <v>0</v>
      </c>
      <c r="J9" s="1" t="s">
        <v>47</v>
      </c>
    </row>
    <row r="10" spans="1:10">
      <c r="A10" s="1" t="s">
        <v>56</v>
      </c>
      <c r="B10" s="1" t="s">
        <v>40</v>
      </c>
      <c r="C10" s="1">
        <v>3</v>
      </c>
      <c r="D10" s="1">
        <v>2</v>
      </c>
      <c r="F10" s="6" t="s">
        <v>57</v>
      </c>
      <c r="G10" s="1">
        <v>9</v>
      </c>
      <c r="H10" s="1">
        <v>5</v>
      </c>
      <c r="I10" s="1" t="b">
        <f>FALSE()</f>
        <v>0</v>
      </c>
      <c r="J10" s="1" t="s">
        <v>47</v>
      </c>
    </row>
    <row r="11" spans="1:10">
      <c r="A11" s="1" t="s">
        <v>58</v>
      </c>
      <c r="B11" s="1" t="s">
        <v>40</v>
      </c>
      <c r="C11" s="1">
        <v>0</v>
      </c>
      <c r="D11" s="1">
        <v>2</v>
      </c>
      <c r="G11" s="1">
        <v>10</v>
      </c>
      <c r="H11" s="1">
        <v>0</v>
      </c>
      <c r="I11" s="1" t="b">
        <f>FALSE()</f>
        <v>0</v>
      </c>
      <c r="J11" s="1" t="s">
        <v>47</v>
      </c>
    </row>
    <row r="12" spans="1:10">
      <c r="A12" s="6" t="s">
        <v>59</v>
      </c>
      <c r="B12" s="1" t="s">
        <v>45</v>
      </c>
      <c r="C12" s="1">
        <v>0</v>
      </c>
      <c r="D12" s="1">
        <v>0</v>
      </c>
      <c r="E12" s="2"/>
      <c r="G12" s="1">
        <v>11</v>
      </c>
      <c r="H12" s="1">
        <v>100</v>
      </c>
      <c r="I12" s="1" t="b">
        <f>TRUE()</f>
        <v>1</v>
      </c>
      <c r="J12" s="1" t="s">
        <v>47</v>
      </c>
    </row>
    <row r="13" spans="1:10">
      <c r="A13" s="7" t="s">
        <v>17</v>
      </c>
      <c r="B13" s="2" t="s">
        <v>45</v>
      </c>
      <c r="C13" s="1">
        <v>0</v>
      </c>
      <c r="D13" s="1">
        <v>0</v>
      </c>
      <c r="G13" s="1">
        <v>12</v>
      </c>
      <c r="H13" s="1">
        <v>20</v>
      </c>
      <c r="I13" s="1" t="b">
        <f>FALSE()</f>
        <v>0</v>
      </c>
      <c r="J13" s="1" t="s">
        <v>47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zoomScale="140" zoomScaleNormal="140" workbookViewId="0">
      <selection activeCell="E19" sqref="E19"/>
    </sheetView>
  </sheetViews>
  <sheetFormatPr defaultColWidth="10" defaultRowHeight="14.25" customHeight="1"/>
  <cols>
    <col min="1" max="1" width="14.125" style="1" customWidth="1"/>
    <col min="2" max="3" width="10" style="1"/>
    <col min="4" max="4" width="30.25" customWidth="1"/>
    <col min="5" max="6" width="10" style="1"/>
    <col min="7" max="7" width="6.625" style="1" customWidth="1"/>
  </cols>
  <sheetData>
    <row r="1" spans="1:7">
      <c r="A1" s="1" t="s">
        <v>30</v>
      </c>
      <c r="B1" s="1" t="s">
        <v>31</v>
      </c>
      <c r="C1" s="1" t="s">
        <v>34</v>
      </c>
      <c r="D1" t="s">
        <v>35</v>
      </c>
      <c r="E1" s="1" t="s">
        <v>37</v>
      </c>
      <c r="F1" s="1" t="s">
        <v>38</v>
      </c>
      <c r="G1" s="1" t="s">
        <v>12</v>
      </c>
    </row>
    <row r="2" spans="1:7">
      <c r="A2" s="1" t="s">
        <v>60</v>
      </c>
      <c r="B2" s="1" t="s">
        <v>61</v>
      </c>
      <c r="C2" s="1" t="s">
        <v>62</v>
      </c>
      <c r="E2" s="1">
        <v>5</v>
      </c>
      <c r="F2" s="1" t="s">
        <v>63</v>
      </c>
      <c r="G2" s="1" t="s">
        <v>64</v>
      </c>
    </row>
    <row r="3" spans="1:7">
      <c r="A3" s="1" t="s">
        <v>65</v>
      </c>
      <c r="B3" s="1" t="s">
        <v>66</v>
      </c>
      <c r="C3" s="1" t="s">
        <v>67</v>
      </c>
      <c r="E3" s="1">
        <v>6</v>
      </c>
      <c r="F3" s="1" t="s">
        <v>63</v>
      </c>
      <c r="G3" s="1" t="s">
        <v>68</v>
      </c>
    </row>
    <row r="4" spans="1:7">
      <c r="A4" s="1" t="s">
        <v>69</v>
      </c>
      <c r="B4" s="1" t="s">
        <v>66</v>
      </c>
      <c r="C4" s="1" t="s">
        <v>70</v>
      </c>
      <c r="E4" s="1">
        <v>7</v>
      </c>
      <c r="F4" s="1" t="s">
        <v>63</v>
      </c>
      <c r="G4" s="1" t="s">
        <v>68</v>
      </c>
    </row>
    <row r="5" spans="1:7">
      <c r="A5" s="6" t="s">
        <v>16</v>
      </c>
      <c r="B5" s="1" t="s">
        <v>66</v>
      </c>
      <c r="C5" s="1" t="s">
        <v>71</v>
      </c>
      <c r="D5" t="s">
        <v>72</v>
      </c>
      <c r="E5" s="1">
        <v>8</v>
      </c>
      <c r="F5" s="1" t="s">
        <v>63</v>
      </c>
      <c r="G5" s="1" t="s">
        <v>68</v>
      </c>
    </row>
    <row r="6" spans="1:7">
      <c r="A6" s="1" t="s">
        <v>73</v>
      </c>
      <c r="B6" s="1" t="s">
        <v>66</v>
      </c>
      <c r="C6" s="1" t="s">
        <v>74</v>
      </c>
      <c r="D6" s="38" t="s">
        <v>278</v>
      </c>
      <c r="E6" s="1">
        <v>90</v>
      </c>
      <c r="F6" s="1" t="s">
        <v>63</v>
      </c>
      <c r="G6" s="1" t="s">
        <v>68</v>
      </c>
    </row>
    <row r="7" spans="1:7">
      <c r="A7" s="1" t="s">
        <v>75</v>
      </c>
      <c r="B7" s="1" t="s">
        <v>61</v>
      </c>
      <c r="C7" s="1" t="s">
        <v>76</v>
      </c>
      <c r="E7" s="1">
        <v>10</v>
      </c>
      <c r="F7" s="1" t="s">
        <v>63</v>
      </c>
      <c r="G7" s="1" t="s">
        <v>64</v>
      </c>
    </row>
    <row r="8" spans="1:7">
      <c r="A8" s="1" t="s">
        <v>77</v>
      </c>
      <c r="B8" s="1" t="s">
        <v>66</v>
      </c>
      <c r="C8" s="1" t="s">
        <v>78</v>
      </c>
      <c r="E8" s="1">
        <v>1</v>
      </c>
      <c r="F8" s="1" t="s">
        <v>63</v>
      </c>
      <c r="G8" s="1" t="s">
        <v>68</v>
      </c>
    </row>
    <row r="9" spans="1:7">
      <c r="A9" s="1" t="s">
        <v>79</v>
      </c>
      <c r="B9" s="1" t="s">
        <v>66</v>
      </c>
      <c r="C9" s="1" t="s">
        <v>80</v>
      </c>
      <c r="D9" s="8" t="s">
        <v>81</v>
      </c>
      <c r="E9" s="1">
        <v>150</v>
      </c>
      <c r="F9" s="1" t="b">
        <f>TRUE()</f>
        <v>1</v>
      </c>
      <c r="G9" s="1" t="s">
        <v>68</v>
      </c>
    </row>
    <row r="10" spans="1:7" ht="14.25" customHeight="1">
      <c r="A10" s="8" t="s">
        <v>82</v>
      </c>
      <c r="B10" s="1" t="s">
        <v>66</v>
      </c>
      <c r="C10" s="1" t="s">
        <v>83</v>
      </c>
      <c r="D10" s="9" t="s">
        <v>84</v>
      </c>
      <c r="E10" s="1">
        <v>100</v>
      </c>
      <c r="F10" s="1" t="s">
        <v>63</v>
      </c>
      <c r="G10" s="1" t="s">
        <v>68</v>
      </c>
    </row>
    <row r="11" spans="1:7" ht="14.25" customHeight="1">
      <c r="A11" s="8" t="s">
        <v>85</v>
      </c>
      <c r="B11" s="1" t="s">
        <v>66</v>
      </c>
      <c r="C11" s="1" t="s">
        <v>86</v>
      </c>
      <c r="D11" s="9" t="s">
        <v>87</v>
      </c>
      <c r="E11" s="1">
        <v>200</v>
      </c>
      <c r="F11" s="1" t="s">
        <v>63</v>
      </c>
      <c r="G11" s="1" t="s">
        <v>68</v>
      </c>
    </row>
    <row r="12" spans="1:7">
      <c r="A12" s="1" t="s">
        <v>88</v>
      </c>
      <c r="B12" s="1" t="s">
        <v>66</v>
      </c>
      <c r="C12" s="1" t="s">
        <v>89</v>
      </c>
      <c r="D12" s="8" t="s">
        <v>90</v>
      </c>
      <c r="E12" s="1">
        <v>60</v>
      </c>
      <c r="F12" s="1" t="s">
        <v>63</v>
      </c>
      <c r="G12" s="1" t="s">
        <v>68</v>
      </c>
    </row>
    <row r="13" spans="1:7">
      <c r="A13" s="1" t="s">
        <v>91</v>
      </c>
      <c r="B13" s="1" t="s">
        <v>61</v>
      </c>
      <c r="C13" s="1" t="s">
        <v>92</v>
      </c>
      <c r="E13" s="1">
        <v>120</v>
      </c>
      <c r="F13" s="1" t="b">
        <f>TRUE()</f>
        <v>1</v>
      </c>
      <c r="G13" s="1" t="s">
        <v>64</v>
      </c>
    </row>
    <row r="19" spans="4:4" ht="14.25" customHeight="1">
      <c r="D19" s="38"/>
    </row>
    <row r="20" spans="4:4" ht="14.25" customHeight="1">
      <c r="D20" s="38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48576"/>
  <sheetViews>
    <sheetView zoomScale="130" zoomScaleNormal="130" workbookViewId="0">
      <selection activeCell="B26" sqref="B26"/>
    </sheetView>
  </sheetViews>
  <sheetFormatPr defaultColWidth="10" defaultRowHeight="14.25" customHeight="1"/>
  <cols>
    <col min="1" max="1" width="13" style="1" customWidth="1"/>
    <col min="2" max="2" width="20" style="1" customWidth="1"/>
    <col min="3" max="3" width="10" style="1"/>
    <col min="4" max="4" width="11.875" style="1" customWidth="1"/>
    <col min="5" max="6" width="10" style="1"/>
    <col min="7" max="7" width="25.875" customWidth="1"/>
    <col min="9" max="9" width="17.75" customWidth="1"/>
    <col min="16377" max="16384" width="11" customWidth="1"/>
  </cols>
  <sheetData>
    <row r="1" spans="1:10">
      <c r="A1" s="1" t="s">
        <v>30</v>
      </c>
      <c r="B1" s="1" t="s">
        <v>93</v>
      </c>
      <c r="C1" s="1" t="s">
        <v>94</v>
      </c>
      <c r="D1" s="1" t="s">
        <v>38</v>
      </c>
      <c r="E1" s="1" t="s">
        <v>95</v>
      </c>
      <c r="F1" s="1" t="s">
        <v>12</v>
      </c>
      <c r="G1" t="s">
        <v>96</v>
      </c>
      <c r="H1" t="s">
        <v>97</v>
      </c>
      <c r="I1" t="s">
        <v>98</v>
      </c>
      <c r="J1" t="s">
        <v>99</v>
      </c>
    </row>
    <row r="2" spans="1:10">
      <c r="A2" s="1" t="s">
        <v>24</v>
      </c>
      <c r="B2" s="1" t="s">
        <v>100</v>
      </c>
      <c r="D2" s="1" t="s">
        <v>63</v>
      </c>
      <c r="E2" s="1">
        <v>1</v>
      </c>
      <c r="F2" s="1" t="s">
        <v>47</v>
      </c>
      <c r="G2" t="s">
        <v>101</v>
      </c>
    </row>
    <row r="3" spans="1:10">
      <c r="A3" s="1" t="s">
        <v>102</v>
      </c>
      <c r="B3" s="1" t="s">
        <v>103</v>
      </c>
      <c r="D3" s="1" t="b">
        <f>TRUE()</f>
        <v>1</v>
      </c>
      <c r="E3" s="1">
        <v>200</v>
      </c>
      <c r="F3" s="1" t="s">
        <v>47</v>
      </c>
      <c r="H3" t="s">
        <v>104</v>
      </c>
      <c r="I3" t="s">
        <v>105</v>
      </c>
      <c r="J3" t="s">
        <v>106</v>
      </c>
    </row>
    <row r="4" spans="1:10">
      <c r="A4" s="39" t="s">
        <v>277</v>
      </c>
      <c r="B4" s="1" t="s">
        <v>107</v>
      </c>
      <c r="D4" s="1" t="b">
        <f>TRUE()</f>
        <v>1</v>
      </c>
      <c r="E4" s="1">
        <v>100</v>
      </c>
      <c r="F4" s="1" t="s">
        <v>47</v>
      </c>
      <c r="G4" t="s">
        <v>108</v>
      </c>
    </row>
    <row r="5" spans="1:10" ht="14.25" customHeight="1">
      <c r="A5" s="1" t="s">
        <v>109</v>
      </c>
      <c r="B5" s="1" t="s">
        <v>110</v>
      </c>
      <c r="D5" s="1" t="b">
        <f>TRUE()</f>
        <v>1</v>
      </c>
      <c r="E5" s="1">
        <v>1</v>
      </c>
      <c r="F5" s="1" t="s">
        <v>47</v>
      </c>
      <c r="H5" t="s">
        <v>104</v>
      </c>
      <c r="I5" t="s">
        <v>111</v>
      </c>
      <c r="J5" t="s">
        <v>112</v>
      </c>
    </row>
    <row r="6" spans="1:10" ht="14.25" customHeight="1">
      <c r="A6" s="1" t="s">
        <v>113</v>
      </c>
      <c r="B6" s="1" t="s">
        <v>114</v>
      </c>
      <c r="D6" s="1" t="b">
        <f>TRUE()</f>
        <v>1</v>
      </c>
      <c r="E6" s="1">
        <v>100</v>
      </c>
      <c r="F6" s="1" t="s">
        <v>47</v>
      </c>
      <c r="H6" t="s">
        <v>104</v>
      </c>
      <c r="I6" t="s">
        <v>115</v>
      </c>
      <c r="J6" t="s">
        <v>106</v>
      </c>
    </row>
    <row r="7" spans="1:10" ht="14.25" customHeight="1">
      <c r="A7" s="1" t="s">
        <v>116</v>
      </c>
      <c r="B7" s="1" t="s">
        <v>117</v>
      </c>
      <c r="D7" s="1" t="b">
        <f>TRUE()</f>
        <v>1</v>
      </c>
      <c r="E7" s="1">
        <v>100</v>
      </c>
      <c r="F7" s="1" t="s">
        <v>47</v>
      </c>
      <c r="H7">
        <v>1</v>
      </c>
      <c r="I7" t="s">
        <v>118</v>
      </c>
      <c r="J7" t="s">
        <v>119</v>
      </c>
    </row>
    <row r="10" spans="1:10" ht="14.25" customHeight="1">
      <c r="B10" s="6" t="s">
        <v>275</v>
      </c>
      <c r="C10" s="6" t="s">
        <v>272</v>
      </c>
      <c r="D10" s="6" t="s">
        <v>268</v>
      </c>
    </row>
    <row r="11" spans="1:10" ht="14.25" customHeight="1">
      <c r="B11" s="6" t="s">
        <v>276</v>
      </c>
      <c r="C11" s="6" t="s">
        <v>271</v>
      </c>
      <c r="D11" s="6" t="s">
        <v>269</v>
      </c>
    </row>
    <row r="12" spans="1:10" ht="14.25" customHeight="1">
      <c r="D12" s="6"/>
    </row>
    <row r="13" spans="1:10" ht="14.25" customHeight="1">
      <c r="B13" s="6" t="s">
        <v>274</v>
      </c>
      <c r="C13" s="6" t="s">
        <v>273</v>
      </c>
      <c r="D13" s="6" t="s">
        <v>270</v>
      </c>
    </row>
    <row r="1048575" ht="12.75" customHeight="1"/>
    <row r="1048576" ht="12.75" customHeight="1"/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zoomScale="130" zoomScaleNormal="130" workbookViewId="0">
      <selection activeCell="C20" sqref="C20"/>
    </sheetView>
  </sheetViews>
  <sheetFormatPr defaultColWidth="10" defaultRowHeight="14.25" customHeight="1"/>
  <cols>
    <col min="1" max="1" width="13" style="1" customWidth="1"/>
    <col min="2" max="2" width="10" style="1"/>
    <col min="3" max="3" width="27.5" style="1" customWidth="1"/>
    <col min="4" max="5" width="10" style="1"/>
  </cols>
  <sheetData>
    <row r="1" spans="1:5">
      <c r="A1" s="1" t="s">
        <v>30</v>
      </c>
      <c r="B1" s="1" t="s">
        <v>120</v>
      </c>
      <c r="C1" s="1" t="s">
        <v>121</v>
      </c>
      <c r="D1" s="1" t="s">
        <v>122</v>
      </c>
      <c r="E1" s="1" t="s">
        <v>37</v>
      </c>
    </row>
    <row r="2" spans="1:5">
      <c r="A2" s="1" t="s">
        <v>102</v>
      </c>
      <c r="B2" s="1">
        <v>0</v>
      </c>
      <c r="C2" s="1" t="s">
        <v>103</v>
      </c>
      <c r="D2" s="1" t="s">
        <v>123</v>
      </c>
      <c r="E2" s="1">
        <v>20000</v>
      </c>
    </row>
    <row r="3" spans="1:5">
      <c r="A3" s="1" t="s">
        <v>124</v>
      </c>
      <c r="B3" s="1">
        <v>1</v>
      </c>
      <c r="C3" s="1" t="s">
        <v>125</v>
      </c>
      <c r="D3" s="1" t="s">
        <v>123</v>
      </c>
      <c r="E3" s="1">
        <v>15000</v>
      </c>
    </row>
    <row r="4" spans="1:5">
      <c r="A4" s="1" t="s">
        <v>126</v>
      </c>
      <c r="B4" s="1">
        <v>2</v>
      </c>
      <c r="C4" s="1" t="s">
        <v>127</v>
      </c>
      <c r="D4" s="1" t="s">
        <v>123</v>
      </c>
      <c r="E4" s="1">
        <v>10000</v>
      </c>
    </row>
    <row r="5" spans="1:5">
      <c r="A5" s="1" t="s">
        <v>128</v>
      </c>
      <c r="B5" s="1">
        <v>4</v>
      </c>
      <c r="C5" s="1" t="s">
        <v>129</v>
      </c>
      <c r="E5" s="1">
        <v>300</v>
      </c>
    </row>
    <row r="6" spans="1:5">
      <c r="A6" s="1" t="s">
        <v>130</v>
      </c>
      <c r="B6" s="1">
        <v>5</v>
      </c>
      <c r="C6" s="1" t="s">
        <v>129</v>
      </c>
      <c r="E6" s="1">
        <v>100</v>
      </c>
    </row>
    <row r="7" spans="1:5">
      <c r="A7" s="1" t="s">
        <v>131</v>
      </c>
      <c r="B7" s="1">
        <v>4</v>
      </c>
      <c r="C7" s="1" t="s">
        <v>132</v>
      </c>
      <c r="E7" s="1">
        <v>300</v>
      </c>
    </row>
    <row r="8" spans="1:5">
      <c r="A8" s="1" t="s">
        <v>133</v>
      </c>
      <c r="B8" s="1" t="s">
        <v>134</v>
      </c>
      <c r="C8" s="1" t="s">
        <v>135</v>
      </c>
      <c r="E8" s="1" t="s">
        <v>134</v>
      </c>
    </row>
    <row r="30" spans="7:7">
      <c r="G30" s="1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zoomScale="130" zoomScaleNormal="130" workbookViewId="0">
      <selection activeCell="A11" sqref="A11"/>
    </sheetView>
  </sheetViews>
  <sheetFormatPr defaultColWidth="11.75" defaultRowHeight="13.5" customHeight="1"/>
  <sheetData>
    <row r="1" spans="1:5">
      <c r="B1" t="s">
        <v>31</v>
      </c>
      <c r="C1" t="s">
        <v>136</v>
      </c>
      <c r="D1" t="s">
        <v>137</v>
      </c>
      <c r="E1" t="s">
        <v>138</v>
      </c>
    </row>
    <row r="2" spans="1:5">
      <c r="A2" t="s">
        <v>139</v>
      </c>
      <c r="B2" t="s">
        <v>140</v>
      </c>
      <c r="C2">
        <v>2</v>
      </c>
      <c r="E2" t="s">
        <v>141</v>
      </c>
    </row>
    <row r="3" spans="1:5">
      <c r="A3" t="s">
        <v>142</v>
      </c>
      <c r="B3" t="s">
        <v>140</v>
      </c>
      <c r="C3">
        <v>10</v>
      </c>
      <c r="D3">
        <v>1</v>
      </c>
      <c r="E3" t="s">
        <v>141</v>
      </c>
    </row>
    <row r="4" spans="1:5">
      <c r="A4" t="s">
        <v>143</v>
      </c>
      <c r="B4" t="s">
        <v>140</v>
      </c>
      <c r="C4">
        <v>4</v>
      </c>
      <c r="E4" t="s">
        <v>144</v>
      </c>
    </row>
    <row r="5" spans="1:5">
      <c r="A5" t="s">
        <v>145</v>
      </c>
      <c r="B5" t="s">
        <v>140</v>
      </c>
      <c r="C5">
        <v>1000</v>
      </c>
      <c r="E5" t="s">
        <v>146</v>
      </c>
    </row>
    <row r="7" spans="1:5">
      <c r="A7" t="s">
        <v>147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5"/>
  <sheetViews>
    <sheetView zoomScale="130" zoomScaleNormal="130" workbookViewId="0">
      <selection activeCell="H15" sqref="H15"/>
    </sheetView>
  </sheetViews>
  <sheetFormatPr defaultColWidth="9" defaultRowHeight="13.5" customHeight="1"/>
  <cols>
    <col min="1" max="1" width="14.125" customWidth="1"/>
  </cols>
  <sheetData>
    <row r="1" spans="1:3">
      <c r="A1" s="1" t="s">
        <v>30</v>
      </c>
      <c r="B1" s="1" t="s">
        <v>36</v>
      </c>
      <c r="C1" t="s">
        <v>148</v>
      </c>
    </row>
    <row r="2" spans="1:3">
      <c r="A2" s="11" t="s">
        <v>149</v>
      </c>
      <c r="B2" s="11">
        <v>1</v>
      </c>
    </row>
    <row r="3" spans="1:3">
      <c r="A3" s="11" t="s">
        <v>150</v>
      </c>
      <c r="B3" s="11">
        <v>2</v>
      </c>
    </row>
    <row r="4" spans="1:3">
      <c r="A4" s="11" t="s">
        <v>44</v>
      </c>
      <c r="B4" s="11">
        <v>3</v>
      </c>
    </row>
    <row r="5" spans="1:3">
      <c r="A5" s="11" t="s">
        <v>48</v>
      </c>
      <c r="B5" s="11">
        <v>4</v>
      </c>
    </row>
    <row r="6" spans="1:3">
      <c r="A6" s="12" t="s">
        <v>49</v>
      </c>
      <c r="B6" s="11">
        <v>5</v>
      </c>
    </row>
    <row r="7" spans="1:3">
      <c r="A7" s="11" t="s">
        <v>50</v>
      </c>
      <c r="B7" s="11">
        <v>6</v>
      </c>
    </row>
    <row r="8" spans="1:3">
      <c r="A8" s="11" t="s">
        <v>52</v>
      </c>
      <c r="B8" s="11">
        <v>7</v>
      </c>
    </row>
    <row r="9" spans="1:3">
      <c r="A9" s="11" t="s">
        <v>54</v>
      </c>
      <c r="B9" s="11">
        <v>8</v>
      </c>
    </row>
    <row r="10" spans="1:3">
      <c r="A10" s="11" t="s">
        <v>56</v>
      </c>
      <c r="B10" s="11">
        <v>9</v>
      </c>
    </row>
    <row r="11" spans="1:3">
      <c r="A11" s="11" t="s">
        <v>58</v>
      </c>
      <c r="B11" s="11">
        <v>10</v>
      </c>
    </row>
    <row r="12" spans="1:3">
      <c r="A12" s="11" t="s">
        <v>126</v>
      </c>
      <c r="B12" s="11">
        <v>11</v>
      </c>
    </row>
    <row r="13" spans="1:3">
      <c r="A13" s="12" t="s">
        <v>17</v>
      </c>
      <c r="B13" s="11">
        <v>12</v>
      </c>
    </row>
    <row r="14" spans="1:3">
      <c r="A14" s="13" t="s">
        <v>60</v>
      </c>
      <c r="B14" s="14">
        <v>13</v>
      </c>
    </row>
    <row r="15" spans="1:3">
      <c r="A15" s="13" t="s">
        <v>65</v>
      </c>
      <c r="B15" s="14">
        <v>14</v>
      </c>
    </row>
    <row r="16" spans="1:3">
      <c r="A16" s="13" t="s">
        <v>69</v>
      </c>
      <c r="B16" s="14">
        <v>15</v>
      </c>
    </row>
    <row r="17" spans="1:2">
      <c r="A17" s="13" t="s">
        <v>16</v>
      </c>
      <c r="B17" s="14">
        <v>16</v>
      </c>
    </row>
    <row r="18" spans="1:2">
      <c r="A18" s="13" t="s">
        <v>73</v>
      </c>
      <c r="B18" s="14">
        <v>17</v>
      </c>
    </row>
    <row r="19" spans="1:2">
      <c r="A19" s="13" t="s">
        <v>75</v>
      </c>
      <c r="B19" s="14">
        <v>18</v>
      </c>
    </row>
    <row r="20" spans="1:2">
      <c r="A20" s="13" t="s">
        <v>77</v>
      </c>
      <c r="B20" s="14">
        <v>20</v>
      </c>
    </row>
    <row r="21" spans="1:2">
      <c r="A21" s="13" t="s">
        <v>79</v>
      </c>
      <c r="B21" s="14">
        <v>21</v>
      </c>
    </row>
    <row r="22" spans="1:2">
      <c r="A22" s="15" t="s">
        <v>82</v>
      </c>
      <c r="B22" s="14">
        <v>22</v>
      </c>
    </row>
    <row r="23" spans="1:2">
      <c r="A23" s="15" t="s">
        <v>85</v>
      </c>
      <c r="B23" s="14">
        <v>23</v>
      </c>
    </row>
    <row r="24" spans="1:2">
      <c r="A24" s="13" t="s">
        <v>88</v>
      </c>
      <c r="B24" s="14">
        <v>24</v>
      </c>
    </row>
    <row r="25" spans="1:2">
      <c r="A25" s="13" t="s">
        <v>91</v>
      </c>
      <c r="B25" s="14">
        <v>25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48576"/>
  <sheetViews>
    <sheetView zoomScaleNormal="100" workbookViewId="0">
      <selection activeCell="D12" sqref="D12"/>
    </sheetView>
  </sheetViews>
  <sheetFormatPr defaultColWidth="9" defaultRowHeight="13.5" customHeight="1"/>
  <cols>
    <col min="1" max="1" width="42.5" customWidth="1"/>
    <col min="2" max="2" width="50.625" customWidth="1"/>
    <col min="3" max="3" width="18.5" customWidth="1"/>
    <col min="4" max="4" width="14" customWidth="1"/>
    <col min="5" max="5" width="28.25" customWidth="1"/>
    <col min="6" max="6" width="49.625" customWidth="1"/>
    <col min="7" max="7" width="50.625" customWidth="1"/>
  </cols>
  <sheetData>
    <row r="1" spans="1:7" ht="21">
      <c r="A1" s="40" t="s">
        <v>151</v>
      </c>
      <c r="B1" s="40"/>
      <c r="C1" s="40"/>
      <c r="D1" s="40"/>
      <c r="E1" s="40"/>
      <c r="F1" s="40"/>
      <c r="G1" s="40"/>
    </row>
    <row r="2" spans="1:7" ht="18">
      <c r="A2" s="16" t="s">
        <v>152</v>
      </c>
      <c r="B2" s="17" t="s">
        <v>153</v>
      </c>
      <c r="C2" s="16" t="s">
        <v>154</v>
      </c>
      <c r="D2" s="16" t="s">
        <v>155</v>
      </c>
      <c r="E2" s="16" t="s">
        <v>156</v>
      </c>
      <c r="F2" s="16" t="s">
        <v>157</v>
      </c>
      <c r="G2" s="17" t="s">
        <v>158</v>
      </c>
    </row>
    <row r="3" spans="1:7" ht="33">
      <c r="A3" s="18" t="s">
        <v>159</v>
      </c>
      <c r="B3" s="19" t="s">
        <v>160</v>
      </c>
      <c r="C3" s="18" t="s">
        <v>161</v>
      </c>
      <c r="D3" s="18" t="s">
        <v>162</v>
      </c>
      <c r="E3" s="18" t="s">
        <v>163</v>
      </c>
      <c r="F3" s="18" t="b">
        <f>FALSE()</f>
        <v>0</v>
      </c>
      <c r="G3" s="19" t="s">
        <v>164</v>
      </c>
    </row>
    <row r="4" spans="1:7" ht="33">
      <c r="A4" s="18" t="s">
        <v>165</v>
      </c>
      <c r="B4" s="19" t="s">
        <v>166</v>
      </c>
      <c r="C4" s="18" t="s">
        <v>165</v>
      </c>
      <c r="D4" s="18" t="s">
        <v>167</v>
      </c>
      <c r="E4" s="18" t="s">
        <v>168</v>
      </c>
      <c r="F4" s="18" t="b">
        <f>TRUE()</f>
        <v>1</v>
      </c>
      <c r="G4" s="19" t="s">
        <v>169</v>
      </c>
    </row>
    <row r="5" spans="1:7" ht="16.5">
      <c r="A5" s="18" t="s">
        <v>170</v>
      </c>
      <c r="B5" s="19" t="s">
        <v>171</v>
      </c>
      <c r="C5" s="18" t="s">
        <v>172</v>
      </c>
      <c r="D5" s="18" t="s">
        <v>173</v>
      </c>
      <c r="E5" s="18" t="s">
        <v>174</v>
      </c>
      <c r="F5" s="18" t="b">
        <f>TRUE()</f>
        <v>1</v>
      </c>
      <c r="G5" s="19" t="s">
        <v>173</v>
      </c>
    </row>
    <row r="6" spans="1:7" ht="16.5">
      <c r="A6" s="18" t="s">
        <v>175</v>
      </c>
      <c r="B6" s="19" t="s">
        <v>176</v>
      </c>
      <c r="C6" s="18" t="s">
        <v>177</v>
      </c>
      <c r="D6" s="18" t="s">
        <v>167</v>
      </c>
      <c r="E6" s="18" t="s">
        <v>168</v>
      </c>
      <c r="F6" s="18" t="b">
        <f>TRUE()</f>
        <v>1</v>
      </c>
      <c r="G6" s="19" t="s">
        <v>173</v>
      </c>
    </row>
    <row r="7" spans="1:7" ht="33">
      <c r="A7" s="18" t="s">
        <v>178</v>
      </c>
      <c r="B7" s="19" t="s">
        <v>179</v>
      </c>
      <c r="C7" s="18" t="s">
        <v>161</v>
      </c>
      <c r="D7" s="18" t="s">
        <v>180</v>
      </c>
      <c r="E7" s="18" t="s">
        <v>181</v>
      </c>
      <c r="F7" s="18" t="b">
        <f>FALSE()</f>
        <v>0</v>
      </c>
      <c r="G7" s="19" t="s">
        <v>182</v>
      </c>
    </row>
    <row r="10" spans="1:7" ht="14.25">
      <c r="A10" s="1" t="s">
        <v>131</v>
      </c>
      <c r="B10" s="1" t="s">
        <v>132</v>
      </c>
      <c r="C10" s="1"/>
      <c r="D10" s="1" t="s">
        <v>183</v>
      </c>
      <c r="E10" s="1" t="s">
        <v>184</v>
      </c>
      <c r="F10" s="1">
        <v>300</v>
      </c>
      <c r="G10" s="1" t="s">
        <v>47</v>
      </c>
    </row>
    <row r="11" spans="1:7" ht="13.5" customHeight="1">
      <c r="A11" s="20" t="s">
        <v>185</v>
      </c>
    </row>
    <row r="12" spans="1:7" ht="13.5" customHeight="1">
      <c r="A12" s="20" t="s">
        <v>186</v>
      </c>
      <c r="D12" t="s">
        <v>187</v>
      </c>
    </row>
    <row r="13" spans="1:7" ht="13.5" customHeight="1">
      <c r="A13" s="21" t="s">
        <v>188</v>
      </c>
      <c r="B13" s="22" t="s">
        <v>189</v>
      </c>
    </row>
    <row r="14" spans="1:7" ht="13.5" customHeight="1">
      <c r="A14" s="22" t="s">
        <v>190</v>
      </c>
    </row>
    <row r="15" spans="1:7" ht="13.5" customHeight="1">
      <c r="A15" s="22" t="s">
        <v>191</v>
      </c>
    </row>
    <row r="16" spans="1:7" ht="13.5" customHeight="1">
      <c r="A16" s="23" t="s">
        <v>192</v>
      </c>
      <c r="B16" s="24" t="s">
        <v>193</v>
      </c>
    </row>
    <row r="17" spans="1:2" ht="13.5" customHeight="1">
      <c r="A17" s="25" t="s">
        <v>194</v>
      </c>
      <c r="B17">
        <v>2</v>
      </c>
    </row>
    <row r="18" spans="1:2" ht="13.5" customHeight="1">
      <c r="A18" s="24" t="s">
        <v>195</v>
      </c>
      <c r="B18">
        <v>3</v>
      </c>
    </row>
    <row r="19" spans="1:2" ht="13.5" customHeight="1">
      <c r="A19" s="26" t="s">
        <v>196</v>
      </c>
      <c r="B19">
        <v>4</v>
      </c>
    </row>
    <row r="20" spans="1:2" ht="13.5" customHeight="1">
      <c r="A20" s="27" t="s">
        <v>197</v>
      </c>
      <c r="B20">
        <v>4</v>
      </c>
    </row>
    <row r="21" spans="1:2" ht="13.5" customHeight="1">
      <c r="A21" s="28" t="s">
        <v>198</v>
      </c>
      <c r="B21">
        <v>5</v>
      </c>
    </row>
    <row r="22" spans="1:2" ht="13.5" customHeight="1">
      <c r="A22" s="28" t="s">
        <v>199</v>
      </c>
      <c r="B22">
        <v>5</v>
      </c>
    </row>
    <row r="23" spans="1:2" ht="13.5" customHeight="1">
      <c r="A23" s="29" t="s">
        <v>200</v>
      </c>
      <c r="B23">
        <v>6</v>
      </c>
    </row>
    <row r="24" spans="1:2" ht="13.5" customHeight="1">
      <c r="A24" s="29" t="s">
        <v>201</v>
      </c>
      <c r="B24">
        <v>6</v>
      </c>
    </row>
    <row r="25" spans="1:2" ht="13.5" customHeight="1">
      <c r="A25" t="s">
        <v>202</v>
      </c>
      <c r="B25" t="s">
        <v>203</v>
      </c>
    </row>
    <row r="26" spans="1:2" ht="13.5" customHeight="1">
      <c r="A26" t="s">
        <v>204</v>
      </c>
    </row>
    <row r="27" spans="1:2" ht="13.5" customHeight="1">
      <c r="A27" t="s">
        <v>205</v>
      </c>
    </row>
    <row r="1048573" ht="12.75" customHeight="1"/>
    <row r="1048574" ht="12.75" customHeight="1"/>
    <row r="1048575" ht="12.75" customHeight="1"/>
    <row r="1048576" ht="12.75" customHeight="1"/>
  </sheetData>
  <mergeCells count="1">
    <mergeCell ref="A1:G1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4"/>
  <sheetViews>
    <sheetView zoomScale="130" zoomScaleNormal="130" workbookViewId="0">
      <selection activeCell="D11" sqref="D11"/>
    </sheetView>
  </sheetViews>
  <sheetFormatPr defaultColWidth="10" defaultRowHeight="14.25" customHeight="1"/>
  <cols>
    <col min="1" max="1" width="10" style="1"/>
    <col min="2" max="2" width="30.5" style="1" customWidth="1"/>
    <col min="3" max="3" width="10" style="1"/>
  </cols>
  <sheetData>
    <row r="1" spans="1:3">
      <c r="A1" s="1" t="s">
        <v>30</v>
      </c>
      <c r="B1" s="1" t="s">
        <v>12</v>
      </c>
      <c r="C1" s="1" t="s">
        <v>206</v>
      </c>
    </row>
    <row r="2" spans="1:3">
      <c r="A2" s="1" t="s">
        <v>207</v>
      </c>
      <c r="B2" s="1" t="s">
        <v>208</v>
      </c>
      <c r="C2" s="30">
        <v>0.3</v>
      </c>
    </row>
    <row r="3" spans="1:3">
      <c r="A3" s="1" t="s">
        <v>209</v>
      </c>
      <c r="B3" s="1" t="s">
        <v>210</v>
      </c>
      <c r="C3" s="30">
        <v>0.5</v>
      </c>
    </row>
    <row r="4" spans="1:3">
      <c r="A4" s="2" t="s">
        <v>211</v>
      </c>
      <c r="B4" s="1" t="s">
        <v>47</v>
      </c>
      <c r="C4" s="30">
        <v>0.2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"/>
  <sheetViews>
    <sheetView zoomScaleNormal="100" workbookViewId="0">
      <selection activeCell="G27" sqref="G27"/>
    </sheetView>
  </sheetViews>
  <sheetFormatPr defaultColWidth="11" defaultRowHeight="13.9" customHeight="1"/>
  <cols>
    <col min="2" max="2" width="7.875" customWidth="1"/>
    <col min="3" max="3" width="13" customWidth="1"/>
    <col min="4" max="4" width="11.25" customWidth="1"/>
    <col min="5" max="5" width="4.375" customWidth="1"/>
    <col min="6" max="6" width="36.5" customWidth="1"/>
    <col min="12" max="12" width="33.5" customWidth="1"/>
  </cols>
  <sheetData>
    <row r="1" spans="1:13" ht="14.25">
      <c r="A1" t="s">
        <v>30</v>
      </c>
      <c r="B1" t="s">
        <v>212</v>
      </c>
      <c r="C1" t="s">
        <v>213</v>
      </c>
      <c r="D1" t="s">
        <v>214</v>
      </c>
      <c r="F1" t="s">
        <v>215</v>
      </c>
      <c r="G1" s="1" t="s">
        <v>1</v>
      </c>
      <c r="H1" s="1" t="s">
        <v>2</v>
      </c>
      <c r="I1" s="1" t="s">
        <v>3</v>
      </c>
      <c r="J1" t="s">
        <v>216</v>
      </c>
      <c r="M1" s="26" t="s">
        <v>217</v>
      </c>
    </row>
    <row r="2" spans="1:13" ht="14.25">
      <c r="A2" s="31" t="s">
        <v>218</v>
      </c>
      <c r="B2" t="s">
        <v>219</v>
      </c>
      <c r="C2" t="s">
        <v>220</v>
      </c>
      <c r="D2" t="s">
        <v>221</v>
      </c>
      <c r="E2" t="s">
        <v>222</v>
      </c>
      <c r="F2" t="s">
        <v>223</v>
      </c>
      <c r="G2">
        <v>30</v>
      </c>
      <c r="H2">
        <v>6</v>
      </c>
      <c r="I2">
        <v>3</v>
      </c>
    </row>
    <row r="3" spans="1:13" ht="14.25">
      <c r="A3" s="32" t="s">
        <v>224</v>
      </c>
      <c r="B3" t="s">
        <v>225</v>
      </c>
      <c r="D3" t="s">
        <v>226</v>
      </c>
    </row>
    <row r="4" spans="1:13" ht="14.25">
      <c r="A4" s="10" t="s">
        <v>227</v>
      </c>
      <c r="B4" t="s">
        <v>228</v>
      </c>
      <c r="C4" t="s">
        <v>229</v>
      </c>
      <c r="F4" t="s">
        <v>230</v>
      </c>
      <c r="J4" t="s">
        <v>231</v>
      </c>
    </row>
    <row r="5" spans="1:13" ht="14.25">
      <c r="A5" s="33" t="s">
        <v>232</v>
      </c>
      <c r="B5" t="s">
        <v>233</v>
      </c>
    </row>
    <row r="6" spans="1:13" ht="14.25">
      <c r="A6" s="33" t="s">
        <v>234</v>
      </c>
      <c r="B6" t="s">
        <v>228</v>
      </c>
      <c r="C6" t="s">
        <v>235</v>
      </c>
      <c r="F6" t="s">
        <v>236</v>
      </c>
    </row>
    <row r="7" spans="1:13" ht="14.25">
      <c r="A7" s="34" t="s">
        <v>237</v>
      </c>
      <c r="B7" t="s">
        <v>238</v>
      </c>
      <c r="C7" t="s">
        <v>229</v>
      </c>
      <c r="D7" t="s">
        <v>239</v>
      </c>
    </row>
    <row r="8" spans="1:13" ht="14.25">
      <c r="A8" s="33" t="s">
        <v>240</v>
      </c>
      <c r="B8" t="s">
        <v>241</v>
      </c>
      <c r="C8" t="s">
        <v>242</v>
      </c>
      <c r="D8" t="s">
        <v>243</v>
      </c>
      <c r="F8" t="s">
        <v>244</v>
      </c>
    </row>
    <row r="9" spans="1:13" ht="14.25">
      <c r="A9" s="10" t="s">
        <v>245</v>
      </c>
      <c r="B9" t="s">
        <v>241</v>
      </c>
      <c r="D9" t="s">
        <v>48</v>
      </c>
    </row>
    <row r="10" spans="1:13" ht="14.25">
      <c r="A10" s="32" t="s">
        <v>246</v>
      </c>
      <c r="D10" t="s">
        <v>247</v>
      </c>
    </row>
    <row r="11" spans="1:13" ht="28.5">
      <c r="A11" s="33" t="s">
        <v>248</v>
      </c>
      <c r="B11" t="s">
        <v>249</v>
      </c>
      <c r="C11" t="s">
        <v>250</v>
      </c>
      <c r="F11" t="s">
        <v>251</v>
      </c>
    </row>
    <row r="12" spans="1:13" ht="14.25">
      <c r="A12" s="33" t="s">
        <v>252</v>
      </c>
      <c r="B12" t="s">
        <v>253</v>
      </c>
      <c r="F12" t="s">
        <v>254</v>
      </c>
    </row>
    <row r="13" spans="1:13" ht="14.25">
      <c r="A13" s="10" t="s">
        <v>255</v>
      </c>
      <c r="D13" t="s">
        <v>256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Roman,标准"&amp;12&amp;Kffffff&amp;A</oddHeader>
    <oddFooter>&amp;C&amp;"Times New Roman,标准"&amp;12&amp;Kffffff页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人物</vt:lpstr>
      <vt:lpstr>资源</vt:lpstr>
      <vt:lpstr>装备</vt:lpstr>
      <vt:lpstr>道具</vt:lpstr>
      <vt:lpstr>遗物</vt:lpstr>
      <vt:lpstr>建筑</vt:lpstr>
      <vt:lpstr>合成索引表</vt:lpstr>
      <vt:lpstr>read_me</vt:lpstr>
      <vt:lpstr>场景</vt:lpstr>
      <vt:lpstr>敌人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cpyh</dc:creator>
  <dc:description/>
  <cp:lastModifiedBy>哈哈 倪</cp:lastModifiedBy>
  <cp:revision>39</cp:revision>
  <dcterms:created xsi:type="dcterms:W3CDTF">2015-06-06T02:19:00Z</dcterms:created>
  <dcterms:modified xsi:type="dcterms:W3CDTF">2025-12-08T08:22:01Z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