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人物" sheetId="1" state="visible" r:id="rId3"/>
    <sheet name="资源" sheetId="2" state="visible" r:id="rId4"/>
    <sheet name="装备" sheetId="3" state="visible" r:id="rId5"/>
    <sheet name="道具" sheetId="4" state="visible" r:id="rId6"/>
    <sheet name="遗物" sheetId="5" state="visible" r:id="rId7"/>
    <sheet name="建筑" sheetId="6" state="visible" r:id="rId8"/>
    <sheet name="合成索引表" sheetId="7" state="visible" r:id="rId9"/>
    <sheet name="read_me" sheetId="8" state="visible" r:id="rId10"/>
    <sheet name="场景" sheetId="9" state="visible" r:id="rId11"/>
    <sheet name="敌人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<sst xmlns="http://schemas.openxmlformats.org/spreadsheetml/2006/main" count="384" uniqueCount="254">
  <si>
    <t xml:space="preserve">name</t>
  </si>
  <si>
    <t xml:space="preserve">HP</t>
  </si>
  <si>
    <t xml:space="preserve">ATK</t>
  </si>
  <si>
    <t xml:space="preserve">DEF</t>
  </si>
  <si>
    <t xml:space="preserve">left</t>
  </si>
  <si>
    <t xml:space="preserve">right</t>
  </si>
  <si>
    <t xml:space="preserve">bag1</t>
  </si>
  <si>
    <t xml:space="preserve">bag2</t>
  </si>
  <si>
    <t xml:space="preserve">bag3</t>
  </si>
  <si>
    <t xml:space="preserve">bag4</t>
  </si>
  <si>
    <t xml:space="preserve">bag5</t>
  </si>
  <si>
    <t xml:space="preserve">bag6</t>
  </si>
  <si>
    <t xml:space="preserve">picture_path</t>
  </si>
  <si>
    <t xml:space="preserve">add_fight_active_skill()</t>
  </si>
  <si>
    <t xml:space="preserve">莉可</t>
  </si>
  <si>
    <t xml:space="preserve">探窟稿</t>
  </si>
  <si>
    <t xml:space="preserve">便携锅</t>
  </si>
  <si>
    <t xml:space="preserve"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</si>
  <si>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</si>
  <si>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 xml:space="preserve">雷古</t>
  </si>
  <si>
    <t xml:space="preserve">res://assets/character/人物_雷古.png</t>
  </si>
  <si>
    <t xml:space="preserve">  {
    "技能名称": "火葬炮",
    "描述文本": "蓄力一回合后秒杀对面",
    "使用次数限制": 09
  }</t>
  </si>
  <si>
    <t xml:space="preserve">娜娜奇</t>
  </si>
  <si>
    <t xml:space="preserve">钓鱼竿</t>
  </si>
  <si>
    <t xml:space="preserve">res://assets/character/人物_娜娜奇.png</t>
  </si>
  <si>
    <t xml:space="preserve">名称</t>
  </si>
  <si>
    <t xml:space="preserve">类型</t>
  </si>
  <si>
    <t xml:space="preserve">food</t>
  </si>
  <si>
    <t xml:space="preserve">water</t>
  </si>
  <si>
    <t xml:space="preserve">effect</t>
  </si>
  <si>
    <t xml:space="preserve">合成配方</t>
  </si>
  <si>
    <t xml:space="preserve">索引值</t>
  </si>
  <si>
    <t xml:space="preserve">value</t>
  </si>
  <si>
    <t xml:space="preserve">是否是遗物</t>
  </si>
  <si>
    <t xml:space="preserve">鱼</t>
  </si>
  <si>
    <t xml:space="preserve">食物</t>
  </si>
  <si>
    <t xml:space="preserve">res://assets/resources/fish</t>
  </si>
  <si>
    <t xml:space="preserve">肉</t>
  </si>
  <si>
    <t xml:space="preserve">res://assets/resources/meat</t>
  </si>
  <si>
    <t xml:space="preserve">永恒香</t>
  </si>
  <si>
    <t xml:space="preserve">调料</t>
  </si>
  <si>
    <t xml:space="preserve">after_cook:food+2</t>
  </si>
  <si>
    <t xml:space="preserve">res://icon.svg</t>
  </si>
  <si>
    <t xml:space="preserve">蛋</t>
  </si>
  <si>
    <t xml:space="preserve">水</t>
  </si>
  <si>
    <t xml:space="preserve">烤鱼</t>
  </si>
  <si>
    <t xml:space="preserve">鱼*火</t>
  </si>
  <si>
    <t xml:space="preserve">烤肉</t>
  </si>
  <si>
    <t xml:space="preserve">肉*火</t>
  </si>
  <si>
    <t xml:space="preserve">熟蛋</t>
  </si>
  <si>
    <t xml:space="preserve">鸡蛋*水*火*便携锅</t>
  </si>
  <si>
    <t xml:space="preserve">鱼汤</t>
  </si>
  <si>
    <t xml:space="preserve">鱼*水*火*便携锅</t>
  </si>
  <si>
    <t xml:space="preserve">拟态水</t>
  </si>
  <si>
    <t xml:space="preserve">火</t>
  </si>
  <si>
    <t xml:space="preserve">石板</t>
  </si>
  <si>
    <t xml:space="preserve">防具</t>
  </si>
  <si>
    <t xml:space="preserve">DEF+10</t>
  </si>
  <si>
    <t xml:space="preserve">FLASE</t>
  </si>
  <si>
    <t xml:space="preserve">res://assets\equipment\armour防具\盾牌</t>
  </si>
  <si>
    <t xml:space="preserve">石块</t>
  </si>
  <si>
    <t xml:space="preserve">武器</t>
  </si>
  <si>
    <t xml:space="preserve">ATK+2</t>
  </si>
  <si>
    <t xml:space="preserve">res://assets\equipment\weapon\锥</t>
  </si>
  <si>
    <t xml:space="preserve">骨头</t>
  </si>
  <si>
    <t xml:space="preserve">ATK+1</t>
  </si>
  <si>
    <t xml:space="preserve">ATK+5</t>
  </si>
  <si>
    <t xml:space="preserve">化石树的树枝*石块</t>
  </si>
  <si>
    <t xml:space="preserve">骨弓</t>
  </si>
  <si>
    <t xml:space="preserve">ATK+9</t>
  </si>
  <si>
    <t xml:space="preserve">骨头*骨头*蛛丝</t>
  </si>
  <si>
    <t xml:space="preserve">祈愿者的盖子</t>
  </si>
  <si>
    <t xml:space="preserve">DEF+5</t>
  </si>
  <si>
    <t xml:space="preserve">化石树的树枝</t>
  </si>
  <si>
    <t xml:space="preserve">ATK+3</t>
  </si>
  <si>
    <t xml:space="preserve">“无尽锤”</t>
  </si>
  <si>
    <t xml:space="preserve">ATK+30</t>
  </si>
  <si>
    <t xml:space="preserve">双手稿*无尽火药</t>
  </si>
  <si>
    <t xml:space="preserve">太阳稿</t>
  </si>
  <si>
    <t xml:space="preserve">ATK+8</t>
  </si>
  <si>
    <r>
      <rPr>
        <sz val="10.5"/>
        <color rgb="FF000000"/>
        <rFont val="宋体"/>
        <family val="3"/>
        <charset val="134"/>
      </rPr>
      <t xml:space="preserve">探窟稿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3"/>
        <charset val="134"/>
      </rPr>
      <t xml:space="preserve">四级</t>
    </r>
    <r>
      <rPr>
        <sz val="10.5"/>
        <color rgb="FF000000"/>
        <rFont val="宋体"/>
        <family val="0"/>
        <charset val="1"/>
      </rPr>
      <t xml:space="preserve">太阳石</t>
    </r>
  </si>
  <si>
    <t xml:space="preserve">双手稿</t>
  </si>
  <si>
    <t xml:space="preserve">ATK+10</t>
  </si>
  <si>
    <r>
      <rPr>
        <sz val="10.5"/>
        <color rgb="FF000000"/>
        <rFont val="宋体"/>
        <family val="3"/>
        <charset val="134"/>
      </rPr>
      <t xml:space="preserve">探窟稿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0"/>
        <charset val="1"/>
      </rPr>
      <t xml:space="preserve">化石树的树枝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3"/>
        <charset val="134"/>
      </rPr>
      <t xml:space="preserve">五级</t>
    </r>
    <r>
      <rPr>
        <sz val="10.5"/>
        <color rgb="FF000000"/>
        <rFont val="宋体"/>
        <family val="0"/>
        <charset val="1"/>
      </rPr>
      <t xml:space="preserve">太阳石</t>
    </r>
  </si>
  <si>
    <t xml:space="preserve">石斧</t>
  </si>
  <si>
    <t xml:space="preserve">ATK+12</t>
  </si>
  <si>
    <t xml:space="preserve">化石树的树枝*石板</t>
  </si>
  <si>
    <t xml:space="preserve">鳞石伞</t>
  </si>
  <si>
    <t xml:space="preserve">DEF+15</t>
  </si>
  <si>
    <t xml:space="preserve">描述文本</t>
  </si>
  <si>
    <t xml:space="preserve">使用次数限制</t>
  </si>
  <si>
    <t xml:space="preserve">VALUE</t>
  </si>
  <si>
    <t xml:space="preserve">装备时</t>
  </si>
  <si>
    <t xml:space="preserve">战斗中使用</t>
  </si>
  <si>
    <t xml:space="preserve">使用效果</t>
  </si>
  <si>
    <t xml:space="preserve">使用对象</t>
  </si>
  <si>
    <t xml:space="preserve">可以钓鱼</t>
  </si>
  <si>
    <t xml:space="preserve">为角色添加fast_fish属性</t>
  </si>
  <si>
    <t xml:space="preserve">时间静止之钟</t>
  </si>
  <si>
    <t xml:space="preserve">停止时间</t>
  </si>
  <si>
    <t xml:space="preserve">无限次</t>
  </si>
  <si>
    <t xml:space="preserve">嘲讽敌人一回合（隐藏：使所有敌人跳过一回合）</t>
  </si>
  <si>
    <t xml:space="preserve">全体敌人</t>
  </si>
  <si>
    <t xml:space="preserve">千人楔 </t>
  </si>
  <si>
    <t xml:space="preserve">嵌入身体可以获得一千个人的力量</t>
  </si>
  <si>
    <t xml:space="preserve">ATK+100,DEF+5.一次性:HP-5</t>
  </si>
  <si>
    <t xml:space="preserve">白笛</t>
  </si>
  <si>
    <t xml:space="preserve">可以激发遗物的真正技能</t>
  </si>
  <si>
    <t xml:space="preserve">使有隐藏功能的遗物发挥真正技能，吹奏后需要休息两回合</t>
  </si>
  <si>
    <t xml:space="preserve">遗物</t>
  </si>
  <si>
    <t xml:space="preserve">赋予黑暗的灯</t>
  </si>
  <si>
    <t xml:space="preserve">被光芒直射会导致短暂失明</t>
  </si>
  <si>
    <t xml:space="preserve">65%概率时敌人致盲</t>
  </si>
  <si>
    <t xml:space="preserve">诅咒针</t>
  </si>
  <si>
    <t xml:space="preserve">使对象收到相当于当前层数的诅咒效果</t>
  </si>
  <si>
    <t xml:space="preserve">收到当前层数的上升诅咒</t>
  </si>
  <si>
    <t xml:space="preserve">单个敌人</t>
  </si>
  <si>
    <t xml:space="preserve">等级</t>
  </si>
  <si>
    <t xml:space="preserve">效果</t>
  </si>
  <si>
    <t xml:space="preserve">属性</t>
  </si>
  <si>
    <t xml:space="preserve">only</t>
  </si>
  <si>
    <t xml:space="preserve">无尽锤</t>
  </si>
  <si>
    <t xml:space="preserve">敲击时产生爆炸造成大量伤害</t>
  </si>
  <si>
    <t xml:space="preserve">无尽火药</t>
  </si>
  <si>
    <t xml:space="preserve">无尽的火</t>
  </si>
  <si>
    <t xml:space="preserve">四级太阳石</t>
  </si>
  <si>
    <t xml:space="preserve">独特的外观吸引商人花大价钱购买</t>
  </si>
  <si>
    <t xml:space="preserve">五级太阳石</t>
  </si>
  <si>
    <t xml:space="preserve">星之罗盘</t>
  </si>
  <si>
    <t xml:space="preserve">免疫迷失</t>
  </si>
  <si>
    <t xml:space="preserve">愿望蛋</t>
  </si>
  <si>
    <t xml:space="preserve">不明</t>
  </si>
  <si>
    <t xml:space="preserve">据说可以实现任何人的任何愿望</t>
  </si>
  <si>
    <t xml:space="preserve">容纳人数</t>
  </si>
  <si>
    <t xml:space="preserve">需常驻人数</t>
  </si>
  <si>
    <t xml:space="preserve">可出现场景</t>
  </si>
  <si>
    <t xml:space="preserve">营地</t>
  </si>
  <si>
    <t xml:space="preserve">友好</t>
  </si>
  <si>
    <t xml:space="preserve">每一层</t>
  </si>
  <si>
    <t xml:space="preserve">守望基地</t>
  </si>
  <si>
    <t xml:space="preserve">绿色的小屋</t>
  </si>
  <si>
    <t xml:space="preserve">Layer_4</t>
  </si>
  <si>
    <t xml:space="preserve">黄金乡</t>
  </si>
  <si>
    <t xml:space="preserve">Layer_7</t>
  </si>
  <si>
    <t xml:space="preserve">特性:固定在场景中，不可移动，友好:可被堆叠。中立:堆叠后触发变化</t>
  </si>
  <si>
    <t xml:space="preserve">需要设定合成的时间</t>
  </si>
  <si>
    <t xml:space="preserve">生鱼</t>
  </si>
  <si>
    <t xml:space="preserve">生肉</t>
  </si>
  <si>
    <t xml:space="preserve">卡片类型信息表</t>
  </si>
  <si>
    <t xml:space="preserve">卡片类型</t>
  </si>
  <si>
    <t xml:space="preserve">类型说明</t>
  </si>
  <si>
    <t xml:space="preserve">允许被堆叠的类型</t>
  </si>
  <si>
    <t xml:space="preserve">堆叠触发函数</t>
  </si>
  <si>
    <t xml:space="preserve">允许的状态</t>
  </si>
  <si>
    <t xml:space="preserve">是否是物品（可在商店出售，有价值，可放背包）</t>
  </si>
  <si>
    <t xml:space="preserve">函数详细效果说明</t>
  </si>
  <si>
    <t xml:space="preserve">场景</t>
  </si>
  <si>
    <t xml:space="preserve">获取资源的途径，固定在地图上，只有人物能堆叠，堆叠后每过五秒会根据概率出现一个产物</t>
  </si>
  <si>
    <t xml:space="preserve">人物</t>
  </si>
  <si>
    <t xml:space="preserve">find()</t>
  </si>
  <si>
    <t xml:space="preserve">"fixed,bestacked"</t>
  </si>
  <si>
    <t xml:space="preserve">time后，根据可生成卡片数组和概率，生成新卡片</t>
  </si>
  <si>
    <t xml:space="preserve">资源</t>
  </si>
  <si>
    <t xml:space="preserve">包括调料和食物</t>
  </si>
  <si>
    <t xml:space="preserve">synthesis()</t>
  </si>
  <si>
    <t xml:space="preserve">"fixed,dragging,bestacked"</t>
  </si>
  <si>
    <t xml:space="preserve">根据已有卡片的乘积寻找组合，如果有合成路径，time后生成新卡片，同时会删除原组合中的所有卡片</t>
  </si>
  <si>
    <t xml:space="preserve">道具</t>
  </si>
  <si>
    <t xml:space="preserve">具有各种特殊效果,没法合成</t>
  </si>
  <si>
    <t xml:space="preserve">无</t>
  </si>
  <si>
    <t xml:space="preserve">-</t>
  </si>
  <si>
    <t xml:space="preserve">"fixed,dragging"</t>
  </si>
  <si>
    <t xml:space="preserve">装备</t>
  </si>
  <si>
    <t xml:space="preserve">有防具和武器，可以和遗物合成新的装备，本身可以是遗物</t>
  </si>
  <si>
    <t xml:space="preserve">"遗物,装备"</t>
  </si>
  <si>
    <t xml:space="preserve">建筑</t>
  </si>
  <si>
    <t xml:space="preserve">容纳探窟者休息，固定在场景中。不同layer会出现不同建筑。</t>
  </si>
  <si>
    <t xml:space="preserve">rest()</t>
  </si>
  <si>
    <t xml:space="preserve">fixed</t>
  </si>
  <si>
    <t xml:space="preserve">rest()在夜晚结算时，食物和水补充的情况下，恢复生命</t>
  </si>
  <si>
    <t xml:space="preserve">被动道具</t>
  </si>
  <si>
    <t xml:space="preserve">TURE</t>
  </si>
  <si>
    <t xml:space="preserve">领地意识:远程角色主动出击时不会反击</t>
  </si>
  <si>
    <t xml:space="preserve">群居：主动出击时会在一回合后增加3个同类加入战斗。被动应战时会一次出现三个，总共出现9个</t>
  </si>
  <si>
    <t xml:space="preserve">战斗：①我方回合进行②我方回合结束③敌方回合开始④敌方回合结束</t>
  </si>
  <si>
    <t xml:space="preserve">束缚：使n回合无法行动</t>
  </si>
  <si>
    <t xml:space="preserve">战斗异常</t>
  </si>
  <si>
    <t xml:space="preserve">流血：每回合结束时扣除对应层数的生命</t>
  </si>
  <si>
    <t xml:space="preserve">失明：命中率降低80%，持续n回合</t>
  </si>
  <si>
    <t xml:space="preserve">头晕：命中率降低10%</t>
  </si>
  <si>
    <t xml:space="preserve">上升诅咒1</t>
  </si>
  <si>
    <t xml:space="preserve">恶心：命中率降低30%，ATK-30%</t>
  </si>
  <si>
    <t xml:space="preserve">麻痹：ATK-80%，n+1回合行动一次</t>
  </si>
  <si>
    <t xml:space="preserve">失衡幻听：无法行动</t>
  </si>
  <si>
    <r>
      <rPr>
        <sz val="10"/>
        <color rgb="FF000000"/>
        <rFont val="等线"/>
        <family val="0"/>
        <charset val="1"/>
      </rPr>
      <t xml:space="preserve">七窍流血：随时间推移失去</t>
    </r>
    <r>
      <rPr>
        <sz val="10"/>
        <color rgb="FF000000"/>
        <rFont val="Times New Roman"/>
        <family val="1"/>
        <charset val="134"/>
      </rPr>
      <t xml:space="preserve">95%</t>
    </r>
    <r>
      <rPr>
        <sz val="10"/>
        <color rgb="FF000000"/>
        <rFont val="等线"/>
        <family val="0"/>
        <charset val="1"/>
      </rPr>
      <t xml:space="preserve">的</t>
    </r>
    <r>
      <rPr>
        <sz val="10"/>
        <color rgb="FF000000"/>
        <rFont val="Times New Roman"/>
        <family val="1"/>
        <charset val="134"/>
      </rPr>
      <t xml:space="preserve">HP</t>
    </r>
  </si>
  <si>
    <t xml:space="preserve">五感丧失：永久失去行动能力</t>
  </si>
  <si>
    <t xml:space="preserve">极度混乱：永久自残或伤害他人</t>
  </si>
  <si>
    <t xml:space="preserve">生骸：丧失人性</t>
  </si>
  <si>
    <t xml:space="preserve">死亡：永久死亡</t>
  </si>
  <si>
    <t xml:space="preserve">鼓舞：ATK提高30%</t>
  </si>
  <si>
    <t xml:space="preserve">正面效果</t>
  </si>
  <si>
    <t xml:space="preserve">白笛激发：激发遗物真正的功能</t>
  </si>
  <si>
    <t xml:space="preserve">免疫诅咒：免疫n层诅咒效果</t>
  </si>
  <si>
    <t xml:space="preserve">出现概率</t>
  </si>
  <si>
    <t xml:space="preserve">河流</t>
  </si>
  <si>
    <t xml:space="preserve">res://assets/terrain小地形/河流</t>
  </si>
  <si>
    <t xml:space="preserve">小洞穴</t>
  </si>
  <si>
    <t xml:space="preserve">res://assets/terrain小地形/小洞穴</t>
  </si>
  <si>
    <t xml:space="preserve">草原</t>
  </si>
  <si>
    <t xml:space="preserve">出现地点</t>
  </si>
  <si>
    <t xml:space="preserve">特性</t>
  </si>
  <si>
    <t xml:space="preserve">掉落物</t>
  </si>
  <si>
    <t xml:space="preserve">攻击模式</t>
  </si>
  <si>
    <t xml:space="preserve">可被驯服</t>
  </si>
  <si>
    <t xml:space="preserve">敌人</t>
  </si>
  <si>
    <t xml:space="preserve">毒针线虫 </t>
  </si>
  <si>
    <t xml:space="preserve">layer1</t>
  </si>
  <si>
    <t xml:space="preserve">领地意识</t>
  </si>
  <si>
    <t xml:space="preserve">蛛丝</t>
  </si>
  <si>
    <t xml:space="preserve">毒液</t>
  </si>
  <si>
    <t xml:space="preserve">[{“单体””伤害”:6},{“单体”“施加效果”:吐蛛丝}]</t>
  </si>
  <si>
    <t xml:space="preserve">槌嘴鸟 </t>
  </si>
  <si>
    <t xml:space="preserve">Layer1-4</t>
  </si>
  <si>
    <r>
      <rPr>
        <sz val="11"/>
        <color rgb="FF000000"/>
        <rFont val="等线"/>
        <family val="0"/>
        <charset val="1"/>
      </rPr>
      <t xml:space="preserve">骨头,鸟肉,</t>
    </r>
    <r>
      <rPr>
        <sz val="11"/>
        <color rgb="FF000000"/>
        <rFont val="等线"/>
        <family val="0"/>
        <charset val="134"/>
      </rPr>
      <t xml:space="preserve">打火石</t>
    </r>
  </si>
  <si>
    <t xml:space="preserve">泣尸鸟 </t>
  </si>
  <si>
    <t xml:space="preserve">layer2</t>
  </si>
  <si>
    <t xml:space="preserve">群居</t>
  </si>
  <si>
    <t xml:space="preserve">捕捉动物并起飞使其受到上升诅咒</t>
  </si>
  <si>
    <t xml:space="preserve">幼鸟</t>
  </si>
  <si>
    <t xml:space="preserve">血口大蛇 </t>
  </si>
  <si>
    <t xml:space="preserve">Layer1-3</t>
  </si>
  <si>
    <t xml:space="preserve">捕风猴 </t>
  </si>
  <si>
    <t xml:space="preserve">领地意识,群居</t>
  </si>
  <si>
    <t xml:space="preserve">扔石头</t>
  </si>
  <si>
    <t xml:space="preserve">毯毯鼠</t>
  </si>
  <si>
    <t xml:space="preserve">layer3</t>
  </si>
  <si>
    <t xml:space="preserve">鲜美的肉</t>
  </si>
  <si>
    <t xml:space="preserve">穿弹兽 </t>
  </si>
  <si>
    <t xml:space="preserve">layer4</t>
  </si>
  <si>
    <t xml:space="preserve">领地意识,百分百闪避</t>
  </si>
  <si>
    <t xml:space="preserve">毒针*50</t>
  </si>
  <si>
    <t xml:space="preserve">穿刺，中毒</t>
  </si>
  <si>
    <t xml:space="preserve">鬼锤嘴鸟 </t>
  </si>
  <si>
    <t xml:space="preserve">竹熊 </t>
  </si>
  <si>
    <t xml:space="preserve">水菇</t>
  </si>
  <si>
    <t xml:space="preserve">七条尾巴的大蝎子 </t>
  </si>
  <si>
    <t xml:space="preserve">layer5</t>
  </si>
  <si>
    <t xml:space="preserve">巢穴</t>
  </si>
  <si>
    <t xml:space="preserve">溶骨毒</t>
  </si>
  <si>
    <t xml:space="preserve">龙鬃螺鸩 </t>
  </si>
  <si>
    <t xml:space="preserve">layer6</t>
  </si>
  <si>
    <t xml:space="preserve">鳞甲有毒，</t>
  </si>
  <si>
    <t xml:space="preserve">空前蜥 </t>
  </si>
  <si>
    <t xml:space="preserve">异常美味的蛋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</si>
</sst>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7">
    <font>
      <sz val="11"/>
      <color rgb="FF000000"/>
      <name val="等线"/>
      <family val="0"/>
      <charset val="1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宋体"/>
      <family val="0"/>
      <charset val="1"/>
    </font>
    <font>
      <sz val="11"/>
      <color rgb="FF000000"/>
      <name val="宋体"/>
      <family val="0"/>
      <charset val="1"/>
    </font>
    <font>
      <sz val="11"/>
      <color theme="1"/>
      <name val="宋体"/>
      <family val="3"/>
      <charset val="134"/>
    </font>
    <font>
      <sz val="11"/>
      <color rgb="FF000000"/>
      <name val="宋体"/>
      <family val="3"/>
      <charset val="134"/>
    </font>
    <font>
      <sz val="10.5"/>
      <color rgb="FF000000"/>
      <name val="宋体"/>
      <family val="0"/>
      <charset val="1"/>
    </font>
    <font>
      <sz val="10.5"/>
      <color rgb="FF000000"/>
      <name val="宋体"/>
      <family val="3"/>
      <charset val="134"/>
    </font>
    <font>
      <sz val="10.5"/>
      <color rgb="FF000000"/>
      <name val="Calibri"/>
      <family val="0"/>
      <charset val="1"/>
    </font>
    <font>
      <b val="true"/>
      <sz val="14"/>
      <color rgb="FF000000"/>
      <name val="Microsoft YaHei"/>
      <family val="0"/>
      <charset val="1"/>
    </font>
    <font>
      <b val="true"/>
      <sz val="12"/>
      <color rgb="FF000000"/>
      <name val="Microsoft YaHei"/>
      <family val="0"/>
      <charset val="1"/>
    </font>
    <font>
      <sz val="11"/>
      <color rgb="FF000000"/>
      <name val="Microsoft YaHei"/>
      <family val="0"/>
      <charset val="1"/>
    </font>
    <font>
      <sz val="11"/>
      <color rgb="FF000000"/>
      <name val="等线"/>
      <family val="0"/>
      <charset val="134"/>
    </font>
    <font>
      <sz val="10"/>
      <color rgb="FF000000"/>
      <name val="等线"/>
      <family val="0"/>
      <charset val="1"/>
    </font>
    <font>
      <sz val="10"/>
      <color rgb="FF000000"/>
      <name val="Times New Roman"/>
      <family val="1"/>
      <charset val="134"/>
    </font>
  </fonts>
  <fills count="13">
    <fill>
      <patternFill patternType="none"/>
    </fill>
    <fill>
      <patternFill patternType="gray125"/>
    </fill>
    <fill>
      <patternFill patternType="solid">
        <fgColor theme="9" tint="0.7999"/>
        <bgColor rgb="FFDAE3F3"/>
      </patternFill>
    </fill>
    <fill>
      <patternFill patternType="solid">
        <fgColor theme="8" tint="0.7999"/>
        <bgColor rgb="FFE2F0D9"/>
      </patternFill>
    </fill>
    <fill>
      <patternFill patternType="solid">
        <fgColor rgb="FFE8F2A1"/>
        <bgColor rgb="FFFFFFA6"/>
      </patternFill>
    </fill>
    <fill>
      <patternFill patternType="solid">
        <fgColor rgb="FFFFD8CE"/>
        <bgColor rgb="FFE2F0D9"/>
      </patternFill>
    </fill>
    <fill>
      <patternFill patternType="solid">
        <fgColor rgb="FFFFFFD7"/>
        <bgColor rgb="FFFFFFA6"/>
      </patternFill>
    </fill>
    <fill>
      <patternFill patternType="solid">
        <fgColor rgb="FFFFFF6D"/>
        <bgColor rgb="FFFFFF38"/>
      </patternFill>
    </fill>
    <fill>
      <patternFill patternType="solid">
        <fgColor rgb="FFFFFFA6"/>
        <bgColor rgb="FFE8F2A1"/>
      </patternFill>
    </fill>
    <fill>
      <patternFill patternType="solid">
        <fgColor rgb="FFFFFF38"/>
        <bgColor rgb="FFFFFF6D"/>
      </patternFill>
    </fill>
    <fill>
      <patternFill patternType="solid">
        <fgColor rgb="FFACB20C"/>
        <bgColor rgb="FF77BC65"/>
      </patternFill>
    </fill>
    <fill>
      <patternFill patternType="solid">
        <fgColor rgb="FF706E0C"/>
        <bgColor rgb="FF808080"/>
      </patternFill>
    </fill>
    <fill>
      <patternFill patternType="solid">
        <fgColor rgb="FF77BC65"/>
        <bgColor rgb="FFACB20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F2A1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706E0C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AE3F3"/>
      <rgbColor rgb="FF000080"/>
      <rgbColor rgb="FFFF00FF"/>
      <rgbColor rgb="FFFFFF6D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A6"/>
      <rgbColor rgb="FF99CCFF"/>
      <rgbColor rgb="FFFF99CC"/>
      <rgbColor rgb="FFCC99FF"/>
      <rgbColor rgb="FFFFD8CE"/>
      <rgbColor rgb="FF3366FF"/>
      <rgbColor rgb="FF33CCCC"/>
      <rgbColor rgb="FFACB20C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00390625" defaultRowHeight="14.25" customHeight="true" zeroHeight="false" outlineLevelRow="0" outlineLevelCol="0"/>
  <cols>
    <col collapsed="false" customWidth="false" hidden="false" outlineLevel="0" max="4" min="1" style="1" width="10"/>
    <col collapsed="false" customWidth="true" hidden="false" outlineLevel="0" max="5" min="5" style="1" width="11"/>
    <col collapsed="false" customWidth="false" hidden="false" outlineLevel="0" max="14" min="13" style="1" width="10"/>
    <col collapsed="false" customWidth="true" hidden="false" outlineLevel="0" max="20" min="20" style="1" width="24.75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T1" s="1" t="s">
        <v>13</v>
      </c>
    </row>
    <row r="2" customFormat="false" ht="77.1" hidden="false" customHeight="false" outlineLevel="0" collapsed="false">
      <c r="A2" s="1" t="s">
        <v>14</v>
      </c>
      <c r="B2" s="1" t="n">
        <v>10</v>
      </c>
      <c r="C2" s="1" t="n">
        <v>1</v>
      </c>
      <c r="D2" s="1" t="n">
        <v>0</v>
      </c>
      <c r="F2" s="1" t="s">
        <v>15</v>
      </c>
      <c r="G2" s="3" t="s">
        <v>16</v>
      </c>
      <c r="M2" s="1" t="s">
        <v>17</v>
      </c>
      <c r="T2" s="4" t="s">
        <v>18</v>
      </c>
    </row>
    <row r="3" customFormat="false" ht="66.25" hidden="false" customHeight="false" outlineLevel="0" collapsed="false">
      <c r="A3" s="1" t="s">
        <v>19</v>
      </c>
      <c r="B3" s="1" t="n">
        <v>50</v>
      </c>
      <c r="C3" s="1" t="n">
        <v>5</v>
      </c>
      <c r="D3" s="1" t="n">
        <v>50</v>
      </c>
      <c r="M3" s="1" t="s">
        <v>20</v>
      </c>
      <c r="T3" s="4" t="s">
        <v>21</v>
      </c>
    </row>
    <row r="4" customFormat="false" ht="14.25" hidden="false" customHeight="false" outlineLevel="0" collapsed="false">
      <c r="A4" s="1" t="s">
        <v>22</v>
      </c>
      <c r="B4" s="1" t="n">
        <v>30</v>
      </c>
      <c r="C4" s="1" t="n">
        <v>8</v>
      </c>
      <c r="D4" s="1" t="n">
        <v>5</v>
      </c>
      <c r="E4" s="1" t="s">
        <v>23</v>
      </c>
      <c r="M4" s="1" t="s">
        <v>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18" activeCellId="0" sqref="E18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5.13"/>
    <col collapsed="false" customWidth="true" hidden="false" outlineLevel="0" max="3" min="3" style="1" width="5.38"/>
    <col collapsed="false" customWidth="true" hidden="false" outlineLevel="0" max="4" min="4" style="1" width="6.38"/>
    <col collapsed="false" customWidth="true" hidden="false" outlineLevel="0" max="5" min="5" style="1" width="19.75"/>
    <col collapsed="false" customWidth="true" hidden="false" outlineLevel="0" max="6" min="6" style="1" width="14.13"/>
    <col collapsed="false" customWidth="true" hidden="false" outlineLevel="0" max="8" min="7" style="1" width="6.38"/>
    <col collapsed="false" customWidth="true" hidden="false" outlineLevel="0" max="9" min="9" style="1" width="10.88"/>
    <col collapsed="false" customWidth="true" hidden="false" outlineLevel="0" max="10" min="10" style="1" width="30.38"/>
  </cols>
  <sheetData>
    <row r="1" customFormat="false" ht="14.25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12</v>
      </c>
    </row>
    <row r="2" customFormat="false" ht="14.25" hidden="false" customHeight="false" outlineLevel="0" collapsed="false">
      <c r="A2" s="1" t="s">
        <v>34</v>
      </c>
      <c r="B2" s="1" t="s">
        <v>35</v>
      </c>
      <c r="C2" s="1" t="n">
        <v>1</v>
      </c>
      <c r="D2" s="1" t="n">
        <v>0</v>
      </c>
      <c r="G2" s="1" t="n">
        <v>1</v>
      </c>
      <c r="H2" s="1" t="n">
        <v>1</v>
      </c>
      <c r="I2" s="1" t="b">
        <f aca="false">FALSE()</f>
        <v>0</v>
      </c>
      <c r="J2" s="1" t="s">
        <v>36</v>
      </c>
    </row>
    <row r="3" customFormat="false" ht="14.25" hidden="false" customHeight="false" outlineLevel="0" collapsed="false">
      <c r="A3" s="1" t="s">
        <v>37</v>
      </c>
      <c r="B3" s="1" t="s">
        <v>35</v>
      </c>
      <c r="C3" s="1" t="n">
        <v>1</v>
      </c>
      <c r="D3" s="1" t="n">
        <v>0</v>
      </c>
      <c r="G3" s="1" t="n">
        <v>2</v>
      </c>
      <c r="H3" s="1" t="n">
        <v>1</v>
      </c>
      <c r="I3" s="1" t="b">
        <f aca="false">FALSE()</f>
        <v>0</v>
      </c>
      <c r="J3" s="1" t="s">
        <v>38</v>
      </c>
    </row>
    <row r="4" customFormat="false" ht="14.25" hidden="false" customHeight="false" outlineLevel="0" collapsed="false">
      <c r="A4" s="1" t="s">
        <v>39</v>
      </c>
      <c r="B4" s="1" t="s">
        <v>40</v>
      </c>
      <c r="C4" s="1" t="n">
        <v>0</v>
      </c>
      <c r="D4" s="1" t="n">
        <v>0</v>
      </c>
      <c r="E4" s="3" t="s">
        <v>41</v>
      </c>
      <c r="G4" s="1" t="n">
        <v>3</v>
      </c>
      <c r="H4" s="1" t="n">
        <v>2</v>
      </c>
      <c r="I4" s="1" t="b">
        <f aca="false">FALSE()</f>
        <v>0</v>
      </c>
      <c r="J4" s="1" t="s">
        <v>42</v>
      </c>
    </row>
    <row r="5" customFormat="false" ht="14.25" hidden="false" customHeight="false" outlineLevel="0" collapsed="false">
      <c r="A5" s="1" t="s">
        <v>43</v>
      </c>
      <c r="B5" s="1" t="s">
        <v>40</v>
      </c>
      <c r="C5" s="1" t="n">
        <v>0</v>
      </c>
      <c r="D5" s="1" t="n">
        <v>0</v>
      </c>
      <c r="G5" s="1" t="n">
        <v>4</v>
      </c>
      <c r="H5" s="1" t="n">
        <v>3</v>
      </c>
      <c r="I5" s="1" t="b">
        <f aca="false">FALSE()</f>
        <v>0</v>
      </c>
      <c r="J5" s="1" t="s">
        <v>42</v>
      </c>
    </row>
    <row r="6" customFormat="false" ht="14.25" hidden="false" customHeight="false" outlineLevel="0" collapsed="false">
      <c r="A6" s="3" t="s">
        <v>44</v>
      </c>
      <c r="B6" s="1" t="s">
        <v>40</v>
      </c>
      <c r="C6" s="1" t="n">
        <v>0</v>
      </c>
      <c r="D6" s="1" t="n">
        <v>2</v>
      </c>
      <c r="G6" s="1" t="n">
        <v>5</v>
      </c>
      <c r="H6" s="1" t="n">
        <v>0</v>
      </c>
      <c r="I6" s="1" t="b">
        <f aca="false">FALSE()</f>
        <v>0</v>
      </c>
      <c r="J6" s="1" t="s">
        <v>42</v>
      </c>
    </row>
    <row r="7" customFormat="false" ht="14.25" hidden="false" customHeight="false" outlineLevel="0" collapsed="false">
      <c r="A7" s="1" t="s">
        <v>45</v>
      </c>
      <c r="B7" s="1" t="s">
        <v>35</v>
      </c>
      <c r="C7" s="1" t="n">
        <v>2</v>
      </c>
      <c r="D7" s="1" t="n">
        <v>0</v>
      </c>
      <c r="F7" s="1" t="s">
        <v>46</v>
      </c>
      <c r="G7" s="1" t="n">
        <v>6</v>
      </c>
      <c r="H7" s="1" t="n">
        <v>5</v>
      </c>
      <c r="I7" s="1" t="b">
        <f aca="false">FALSE()</f>
        <v>0</v>
      </c>
      <c r="J7" s="1" t="s">
        <v>42</v>
      </c>
    </row>
    <row r="8" customFormat="false" ht="14.25" hidden="false" customHeight="false" outlineLevel="0" collapsed="false">
      <c r="A8" s="1" t="s">
        <v>47</v>
      </c>
      <c r="B8" s="1" t="s">
        <v>35</v>
      </c>
      <c r="C8" s="1" t="n">
        <v>2</v>
      </c>
      <c r="D8" s="1" t="n">
        <v>0</v>
      </c>
      <c r="F8" s="1" t="s">
        <v>48</v>
      </c>
      <c r="G8" s="1" t="n">
        <v>7</v>
      </c>
      <c r="H8" s="1" t="n">
        <v>5</v>
      </c>
      <c r="I8" s="1" t="b">
        <f aca="false">FALSE()</f>
        <v>0</v>
      </c>
      <c r="J8" s="1" t="s">
        <v>42</v>
      </c>
    </row>
    <row r="9" customFormat="false" ht="14.25" hidden="false" customHeight="false" outlineLevel="0" collapsed="false">
      <c r="A9" s="1" t="s">
        <v>49</v>
      </c>
      <c r="B9" s="1" t="s">
        <v>35</v>
      </c>
      <c r="C9" s="1" t="n">
        <v>6</v>
      </c>
      <c r="D9" s="1" t="n">
        <v>1</v>
      </c>
      <c r="F9" s="5" t="s">
        <v>50</v>
      </c>
      <c r="G9" s="1" t="n">
        <v>8</v>
      </c>
      <c r="H9" s="1" t="n">
        <v>10</v>
      </c>
      <c r="I9" s="1" t="b">
        <f aca="false">FALSE()</f>
        <v>0</v>
      </c>
      <c r="J9" s="1" t="s">
        <v>42</v>
      </c>
    </row>
    <row r="10" customFormat="false" ht="14.25" hidden="false" customHeight="false" outlineLevel="0" collapsed="false">
      <c r="A10" s="1" t="s">
        <v>51</v>
      </c>
      <c r="B10" s="1" t="s">
        <v>35</v>
      </c>
      <c r="C10" s="1" t="n">
        <v>3</v>
      </c>
      <c r="D10" s="1" t="n">
        <v>2</v>
      </c>
      <c r="F10" s="5" t="s">
        <v>52</v>
      </c>
      <c r="G10" s="1" t="n">
        <v>9</v>
      </c>
      <c r="H10" s="1" t="n">
        <v>5</v>
      </c>
      <c r="I10" s="1" t="b">
        <f aca="false">FALSE()</f>
        <v>0</v>
      </c>
      <c r="J10" s="1" t="s">
        <v>42</v>
      </c>
    </row>
    <row r="11" customFormat="false" ht="14.25" hidden="false" customHeight="false" outlineLevel="0" collapsed="false">
      <c r="A11" s="1" t="s">
        <v>53</v>
      </c>
      <c r="B11" s="1" t="s">
        <v>35</v>
      </c>
      <c r="C11" s="1" t="n">
        <v>0</v>
      </c>
      <c r="D11" s="1" t="n">
        <v>2</v>
      </c>
      <c r="G11" s="1" t="n">
        <v>10</v>
      </c>
      <c r="H11" s="1" t="n">
        <v>0</v>
      </c>
      <c r="I11" s="1" t="b">
        <f aca="false">FALSE()</f>
        <v>0</v>
      </c>
      <c r="J11" s="1" t="s">
        <v>42</v>
      </c>
    </row>
    <row r="12" customFormat="false" ht="14.25" hidden="false" customHeight="false" outlineLevel="0" collapsed="false">
      <c r="A12" s="5" t="s">
        <v>54</v>
      </c>
      <c r="B12" s="1" t="s">
        <v>40</v>
      </c>
      <c r="C12" s="1" t="n">
        <v>0</v>
      </c>
      <c r="D12" s="1" t="n">
        <v>0</v>
      </c>
      <c r="E12" s="3"/>
      <c r="G12" s="1" t="n">
        <v>11</v>
      </c>
      <c r="H12" s="1" t="n">
        <v>100</v>
      </c>
      <c r="I12" s="1" t="b">
        <f aca="false">TRUE()</f>
        <v>1</v>
      </c>
      <c r="J12" s="1" t="s">
        <v>42</v>
      </c>
    </row>
    <row r="13" customFormat="false" ht="14.25" hidden="false" customHeight="false" outlineLevel="0" collapsed="false">
      <c r="A13" s="6" t="s">
        <v>16</v>
      </c>
      <c r="B13" s="3" t="s">
        <v>40</v>
      </c>
      <c r="C13" s="1" t="n">
        <v>0</v>
      </c>
      <c r="D13" s="1" t="n">
        <v>0</v>
      </c>
      <c r="G13" s="1" t="n">
        <v>12</v>
      </c>
      <c r="H13" s="1" t="n">
        <v>20</v>
      </c>
      <c r="I13" s="1" t="b">
        <f aca="false">FALSE()</f>
        <v>0</v>
      </c>
      <c r="J13" s="1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4" activeCellId="0" sqref="A14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4.13"/>
    <col collapsed="false" customWidth="false" hidden="false" outlineLevel="0" max="3" min="2" style="1" width="10"/>
    <col collapsed="false" customWidth="true" hidden="false" outlineLevel="0" max="5" min="5" style="2" width="30.25"/>
    <col collapsed="false" customWidth="false" hidden="false" outlineLevel="0" max="7" min="6" style="1" width="10"/>
    <col collapsed="false" customWidth="true" hidden="false" outlineLevel="0" max="8" min="8" style="1" width="6.63"/>
  </cols>
  <sheetData>
    <row r="1" customFormat="false" ht="14.25" hidden="false" customHeight="false" outlineLevel="0" collapsed="false">
      <c r="A1" s="1" t="s">
        <v>25</v>
      </c>
      <c r="B1" s="1" t="s">
        <v>26</v>
      </c>
      <c r="C1" s="1" t="s">
        <v>29</v>
      </c>
      <c r="D1" s="2" t="s">
        <v>31</v>
      </c>
      <c r="E1" s="2" t="s">
        <v>30</v>
      </c>
      <c r="F1" s="1" t="s">
        <v>32</v>
      </c>
      <c r="G1" s="1" t="s">
        <v>33</v>
      </c>
      <c r="H1" s="1" t="s">
        <v>12</v>
      </c>
    </row>
    <row r="2" customFormat="false" ht="14.25" hidden="false" customHeight="false" outlineLevel="0" collapsed="false">
      <c r="A2" s="1" t="s">
        <v>55</v>
      </c>
      <c r="B2" s="1" t="s">
        <v>56</v>
      </c>
      <c r="C2" s="1" t="s">
        <v>57</v>
      </c>
      <c r="D2" s="2" t="n">
        <v>13</v>
      </c>
      <c r="F2" s="1" t="n">
        <v>5</v>
      </c>
      <c r="G2" s="1" t="s">
        <v>58</v>
      </c>
      <c r="H2" s="1" t="s">
        <v>59</v>
      </c>
    </row>
    <row r="3" customFormat="false" ht="14.25" hidden="false" customHeight="false" outlineLevel="0" collapsed="false">
      <c r="A3" s="1" t="s">
        <v>60</v>
      </c>
      <c r="B3" s="1" t="s">
        <v>61</v>
      </c>
      <c r="C3" s="1" t="s">
        <v>62</v>
      </c>
      <c r="D3" s="2" t="n">
        <v>14</v>
      </c>
      <c r="F3" s="1" t="n">
        <v>6</v>
      </c>
      <c r="G3" s="1" t="s">
        <v>58</v>
      </c>
      <c r="H3" s="1" t="s">
        <v>63</v>
      </c>
    </row>
    <row r="4" customFormat="false" ht="14.25" hidden="false" customHeight="false" outlineLevel="0" collapsed="false">
      <c r="A4" s="1" t="s">
        <v>64</v>
      </c>
      <c r="B4" s="1" t="s">
        <v>61</v>
      </c>
      <c r="C4" s="1" t="s">
        <v>65</v>
      </c>
      <c r="D4" s="2" t="n">
        <v>15</v>
      </c>
      <c r="F4" s="1" t="n">
        <v>7</v>
      </c>
      <c r="G4" s="1" t="s">
        <v>58</v>
      </c>
      <c r="H4" s="1" t="s">
        <v>63</v>
      </c>
    </row>
    <row r="5" customFormat="false" ht="14.25" hidden="false" customHeight="false" outlineLevel="0" collapsed="false">
      <c r="A5" s="5" t="s">
        <v>15</v>
      </c>
      <c r="B5" s="1" t="s">
        <v>61</v>
      </c>
      <c r="C5" s="1" t="s">
        <v>66</v>
      </c>
      <c r="D5" s="2" t="n">
        <v>16</v>
      </c>
      <c r="E5" s="2" t="s">
        <v>67</v>
      </c>
      <c r="F5" s="1" t="n">
        <v>8</v>
      </c>
      <c r="G5" s="1" t="s">
        <v>58</v>
      </c>
      <c r="H5" s="1" t="s">
        <v>63</v>
      </c>
    </row>
    <row r="6" customFormat="false" ht="14.25" hidden="false" customHeight="false" outlineLevel="0" collapsed="false">
      <c r="A6" s="1" t="s">
        <v>68</v>
      </c>
      <c r="B6" s="1" t="s">
        <v>61</v>
      </c>
      <c r="C6" s="1" t="s">
        <v>69</v>
      </c>
      <c r="D6" s="2" t="n">
        <v>17</v>
      </c>
      <c r="E6" s="2" t="s">
        <v>70</v>
      </c>
      <c r="F6" s="1" t="n">
        <v>90</v>
      </c>
      <c r="G6" s="1" t="s">
        <v>58</v>
      </c>
      <c r="H6" s="1" t="s">
        <v>63</v>
      </c>
    </row>
    <row r="7" customFormat="false" ht="14.25" hidden="false" customHeight="false" outlineLevel="0" collapsed="false">
      <c r="A7" s="1" t="s">
        <v>71</v>
      </c>
      <c r="B7" s="1" t="s">
        <v>56</v>
      </c>
      <c r="C7" s="1" t="s">
        <v>72</v>
      </c>
      <c r="D7" s="2" t="n">
        <v>18</v>
      </c>
      <c r="F7" s="1" t="n">
        <v>10</v>
      </c>
      <c r="G7" s="1" t="s">
        <v>58</v>
      </c>
      <c r="H7" s="1" t="s">
        <v>59</v>
      </c>
    </row>
    <row r="8" customFormat="false" ht="14.25" hidden="false" customHeight="false" outlineLevel="0" collapsed="false">
      <c r="A8" s="1" t="s">
        <v>73</v>
      </c>
      <c r="B8" s="1" t="s">
        <v>61</v>
      </c>
      <c r="C8" s="1" t="s">
        <v>74</v>
      </c>
      <c r="D8" s="2" t="n">
        <v>20</v>
      </c>
      <c r="F8" s="1" t="n">
        <v>1</v>
      </c>
      <c r="G8" s="1" t="s">
        <v>58</v>
      </c>
      <c r="H8" s="1" t="s">
        <v>63</v>
      </c>
    </row>
    <row r="9" customFormat="false" ht="14.25" hidden="false" customHeight="false" outlineLevel="0" collapsed="false">
      <c r="A9" s="1" t="s">
        <v>75</v>
      </c>
      <c r="B9" s="1" t="s">
        <v>61</v>
      </c>
      <c r="C9" s="1" t="s">
        <v>76</v>
      </c>
      <c r="D9" s="2" t="n">
        <v>21</v>
      </c>
      <c r="E9" s="7" t="s">
        <v>77</v>
      </c>
      <c r="F9" s="1" t="n">
        <v>150</v>
      </c>
      <c r="G9" s="1" t="b">
        <f aca="false">TRUE()</f>
        <v>1</v>
      </c>
      <c r="H9" s="1" t="s">
        <v>63</v>
      </c>
    </row>
    <row r="10" customFormat="false" ht="14.25" hidden="false" customHeight="true" outlineLevel="0" collapsed="false">
      <c r="A10" s="7" t="s">
        <v>78</v>
      </c>
      <c r="B10" s="1" t="s">
        <v>61</v>
      </c>
      <c r="C10" s="1" t="s">
        <v>79</v>
      </c>
      <c r="D10" s="2" t="n">
        <v>22</v>
      </c>
      <c r="E10" s="8" t="s">
        <v>80</v>
      </c>
      <c r="F10" s="1" t="n">
        <v>100</v>
      </c>
      <c r="G10" s="1" t="s">
        <v>58</v>
      </c>
      <c r="H10" s="1" t="s">
        <v>63</v>
      </c>
    </row>
    <row r="11" customFormat="false" ht="14.25" hidden="false" customHeight="true" outlineLevel="0" collapsed="false">
      <c r="A11" s="7" t="s">
        <v>81</v>
      </c>
      <c r="B11" s="1" t="s">
        <v>61</v>
      </c>
      <c r="C11" s="1" t="s">
        <v>82</v>
      </c>
      <c r="D11" s="2" t="n">
        <v>23</v>
      </c>
      <c r="E11" s="8" t="s">
        <v>83</v>
      </c>
      <c r="F11" s="1" t="n">
        <v>200</v>
      </c>
      <c r="G11" s="1" t="s">
        <v>58</v>
      </c>
      <c r="H11" s="1" t="s">
        <v>63</v>
      </c>
    </row>
    <row r="12" customFormat="false" ht="14.25" hidden="false" customHeight="false" outlineLevel="0" collapsed="false">
      <c r="A12" s="1" t="s">
        <v>84</v>
      </c>
      <c r="B12" s="1" t="s">
        <v>61</v>
      </c>
      <c r="C12" s="1" t="s">
        <v>85</v>
      </c>
      <c r="D12" s="2" t="n">
        <v>24</v>
      </c>
      <c r="E12" s="7" t="s">
        <v>86</v>
      </c>
      <c r="F12" s="1" t="n">
        <v>60</v>
      </c>
      <c r="G12" s="1" t="s">
        <v>58</v>
      </c>
      <c r="H12" s="1" t="s">
        <v>63</v>
      </c>
    </row>
    <row r="13" customFormat="false" ht="14.25" hidden="false" customHeight="false" outlineLevel="0" collapsed="false">
      <c r="A13" s="1" t="s">
        <v>87</v>
      </c>
      <c r="B13" s="1" t="s">
        <v>56</v>
      </c>
      <c r="C13" s="1" t="s">
        <v>88</v>
      </c>
      <c r="D13" s="2" t="n">
        <v>25</v>
      </c>
      <c r="F13" s="1" t="n">
        <v>120</v>
      </c>
      <c r="G13" s="1" t="b">
        <f aca="false">TRUE()</f>
        <v>1</v>
      </c>
      <c r="H13" s="1" t="s">
        <v>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G13" activeCellId="0" sqref="G13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2.94"/>
    <col collapsed="false" customWidth="true" hidden="false" outlineLevel="0" max="2" min="2" style="1" width="19.95"/>
    <col collapsed="false" customWidth="false" hidden="false" outlineLevel="0" max="3" min="3" style="1" width="10"/>
    <col collapsed="false" customWidth="true" hidden="false" outlineLevel="0" max="4" min="4" style="1" width="11.88"/>
    <col collapsed="false" customWidth="false" hidden="false" outlineLevel="0" max="6" min="5" style="1" width="10"/>
    <col collapsed="false" customWidth="true" hidden="false" outlineLevel="0" max="7" min="7" style="2" width="25.87"/>
    <col collapsed="false" customWidth="true" hidden="false" outlineLevel="0" max="9" min="9" style="2" width="17.81"/>
    <col collapsed="false" customWidth="true" hidden="false" outlineLevel="0" max="16384" min="16377" style="2" width="11.05"/>
  </cols>
  <sheetData>
    <row r="1" customFormat="false" ht="14.25" hidden="false" customHeight="false" outlineLevel="0" collapsed="false">
      <c r="A1" s="1" t="s">
        <v>25</v>
      </c>
      <c r="B1" s="1" t="s">
        <v>89</v>
      </c>
      <c r="C1" s="1" t="s">
        <v>90</v>
      </c>
      <c r="D1" s="1" t="s">
        <v>33</v>
      </c>
      <c r="E1" s="1" t="s">
        <v>91</v>
      </c>
      <c r="F1" s="1" t="s">
        <v>12</v>
      </c>
      <c r="G1" s="2" t="s">
        <v>92</v>
      </c>
      <c r="H1" s="2" t="s">
        <v>93</v>
      </c>
      <c r="I1" s="2" t="s">
        <v>94</v>
      </c>
      <c r="J1" s="2" t="s">
        <v>95</v>
      </c>
    </row>
    <row r="2" customFormat="false" ht="14.25" hidden="false" customHeight="false" outlineLevel="0" collapsed="false">
      <c r="A2" s="1" t="s">
        <v>23</v>
      </c>
      <c r="B2" s="1" t="s">
        <v>96</v>
      </c>
      <c r="D2" s="1" t="s">
        <v>58</v>
      </c>
      <c r="E2" s="1" t="n">
        <v>1</v>
      </c>
      <c r="F2" s="1" t="s">
        <v>42</v>
      </c>
      <c r="G2" s="2" t="s">
        <v>97</v>
      </c>
    </row>
    <row r="3" customFormat="false" ht="14.25" hidden="false" customHeight="false" outlineLevel="0" collapsed="false">
      <c r="A3" s="1" t="s">
        <v>98</v>
      </c>
      <c r="B3" s="1" t="s">
        <v>99</v>
      </c>
      <c r="D3" s="1" t="b">
        <f aca="false">TRUE()</f>
        <v>1</v>
      </c>
      <c r="E3" s="1" t="n">
        <v>200</v>
      </c>
      <c r="F3" s="1" t="s">
        <v>42</v>
      </c>
      <c r="H3" s="2" t="s">
        <v>100</v>
      </c>
      <c r="I3" s="2" t="s">
        <v>101</v>
      </c>
      <c r="J3" s="2" t="s">
        <v>102</v>
      </c>
    </row>
    <row r="4" customFormat="false" ht="14.25" hidden="false" customHeight="false" outlineLevel="0" collapsed="false">
      <c r="A4" s="9" t="s">
        <v>103</v>
      </c>
      <c r="B4" s="1" t="s">
        <v>104</v>
      </c>
      <c r="D4" s="1" t="b">
        <f aca="false">TRUE()</f>
        <v>1</v>
      </c>
      <c r="E4" s="1" t="n">
        <v>100</v>
      </c>
      <c r="F4" s="1" t="s">
        <v>42</v>
      </c>
      <c r="G4" s="2" t="s">
        <v>105</v>
      </c>
    </row>
    <row r="5" customFormat="false" ht="14.25" hidden="false" customHeight="true" outlineLevel="0" collapsed="false">
      <c r="A5" s="1" t="s">
        <v>106</v>
      </c>
      <c r="B5" s="1" t="s">
        <v>107</v>
      </c>
      <c r="D5" s="1" t="b">
        <f aca="false">TRUE()</f>
        <v>1</v>
      </c>
      <c r="E5" s="1" t="n">
        <v>1</v>
      </c>
      <c r="F5" s="1" t="s">
        <v>42</v>
      </c>
      <c r="H5" s="2" t="s">
        <v>100</v>
      </c>
      <c r="I5" s="2" t="s">
        <v>108</v>
      </c>
      <c r="J5" s="2" t="s">
        <v>109</v>
      </c>
    </row>
    <row r="6" customFormat="false" ht="14.25" hidden="false" customHeight="true" outlineLevel="0" collapsed="false">
      <c r="A6" s="1" t="s">
        <v>110</v>
      </c>
      <c r="B6" s="1" t="s">
        <v>111</v>
      </c>
      <c r="D6" s="1" t="b">
        <f aca="false">TRUE()</f>
        <v>1</v>
      </c>
      <c r="E6" s="1" t="n">
        <v>100</v>
      </c>
      <c r="F6" s="1" t="s">
        <v>42</v>
      </c>
      <c r="H6" s="2" t="s">
        <v>100</v>
      </c>
      <c r="I6" s="2" t="s">
        <v>112</v>
      </c>
      <c r="J6" s="2" t="s">
        <v>102</v>
      </c>
    </row>
    <row r="7" customFormat="false" ht="14.25" hidden="false" customHeight="true" outlineLevel="0" collapsed="false">
      <c r="A7" s="1" t="s">
        <v>113</v>
      </c>
      <c r="B7" s="1" t="s">
        <v>114</v>
      </c>
      <c r="D7" s="1" t="b">
        <f aca="false">TRUE()</f>
        <v>1</v>
      </c>
      <c r="E7" s="1" t="n">
        <v>100</v>
      </c>
      <c r="F7" s="1" t="s">
        <v>42</v>
      </c>
      <c r="H7" s="2" t="n">
        <v>1</v>
      </c>
      <c r="I7" s="2" t="s">
        <v>115</v>
      </c>
      <c r="J7" s="2" t="s">
        <v>116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F1" activeCellId="0" sqref="F1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3"/>
    <col collapsed="false" customWidth="false" hidden="false" outlineLevel="0" max="2" min="2" style="1" width="10"/>
    <col collapsed="false" customWidth="true" hidden="false" outlineLevel="0" max="3" min="3" style="1" width="27.5"/>
    <col collapsed="false" customWidth="false" hidden="false" outlineLevel="0" max="5" min="4" style="1" width="10"/>
  </cols>
  <sheetData>
    <row r="1" customFormat="false" ht="14.25" hidden="false" customHeight="false" outlineLevel="0" collapsed="false">
      <c r="A1" s="1" t="s">
        <v>25</v>
      </c>
      <c r="B1" s="1" t="s">
        <v>117</v>
      </c>
      <c r="C1" s="1" t="s">
        <v>118</v>
      </c>
      <c r="D1" s="1" t="s">
        <v>119</v>
      </c>
      <c r="E1" s="1" t="s">
        <v>32</v>
      </c>
    </row>
    <row r="2" customFormat="false" ht="14.25" hidden="false" customHeight="false" outlineLevel="0" collapsed="false">
      <c r="A2" s="1" t="s">
        <v>98</v>
      </c>
      <c r="B2" s="1" t="n">
        <v>0</v>
      </c>
      <c r="C2" s="1" t="s">
        <v>99</v>
      </c>
      <c r="D2" s="1" t="s">
        <v>120</v>
      </c>
      <c r="E2" s="1" t="n">
        <v>20000</v>
      </c>
    </row>
    <row r="3" customFormat="false" ht="14.25" hidden="false" customHeight="false" outlineLevel="0" collapsed="false">
      <c r="A3" s="1" t="s">
        <v>121</v>
      </c>
      <c r="B3" s="1" t="n">
        <v>1</v>
      </c>
      <c r="C3" s="1" t="s">
        <v>122</v>
      </c>
      <c r="D3" s="1" t="s">
        <v>120</v>
      </c>
      <c r="E3" s="1" t="n">
        <v>15000</v>
      </c>
    </row>
    <row r="4" customFormat="false" ht="14.25" hidden="false" customHeight="false" outlineLevel="0" collapsed="false">
      <c r="A4" s="1" t="s">
        <v>123</v>
      </c>
      <c r="B4" s="1" t="n">
        <v>2</v>
      </c>
      <c r="C4" s="1" t="s">
        <v>124</v>
      </c>
      <c r="D4" s="1" t="s">
        <v>120</v>
      </c>
      <c r="E4" s="1" t="n">
        <v>10000</v>
      </c>
    </row>
    <row r="5" customFormat="false" ht="14.25" hidden="false" customHeight="false" outlineLevel="0" collapsed="false">
      <c r="A5" s="1" t="s">
        <v>125</v>
      </c>
      <c r="B5" s="1" t="n">
        <v>4</v>
      </c>
      <c r="C5" s="1" t="s">
        <v>126</v>
      </c>
      <c r="E5" s="1" t="n">
        <v>300</v>
      </c>
    </row>
    <row r="6" customFormat="false" ht="14.25" hidden="false" customHeight="false" outlineLevel="0" collapsed="false">
      <c r="A6" s="1" t="s">
        <v>127</v>
      </c>
      <c r="B6" s="1" t="n">
        <v>5</v>
      </c>
      <c r="C6" s="1" t="s">
        <v>126</v>
      </c>
      <c r="E6" s="1" t="n">
        <v>100</v>
      </c>
    </row>
    <row r="7" customFormat="false" ht="14.25" hidden="false" customHeight="false" outlineLevel="0" collapsed="false">
      <c r="A7" s="1" t="s">
        <v>128</v>
      </c>
      <c r="B7" s="1" t="n">
        <v>4</v>
      </c>
      <c r="C7" s="1" t="s">
        <v>129</v>
      </c>
      <c r="E7" s="1" t="n">
        <v>300</v>
      </c>
    </row>
    <row r="8" customFormat="false" ht="14.25" hidden="false" customHeight="false" outlineLevel="0" collapsed="false">
      <c r="A8" s="1" t="s">
        <v>130</v>
      </c>
      <c r="B8" s="1" t="s">
        <v>131</v>
      </c>
      <c r="C8" s="1" t="s">
        <v>132</v>
      </c>
      <c r="E8" s="1" t="s">
        <v>131</v>
      </c>
    </row>
    <row r="30" customFormat="false" ht="14.25" hidden="false" customHeight="false" outlineLevel="0" collapsed="false">
      <c r="G3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1" activeCellId="0" sqref="A11"/>
    </sheetView>
  </sheetViews>
  <sheetFormatPr defaultColWidth="11.75390625" defaultRowHeight="13.5" customHeight="true" zeroHeight="false" outlineLevelRow="0" outlineLevelCol="0"/>
  <sheetData>
    <row r="1" customFormat="false" ht="13.5" hidden="false" customHeight="false" outlineLevel="0" collapsed="false">
      <c r="B1" s="2" t="s">
        <v>26</v>
      </c>
      <c r="C1" s="2" t="s">
        <v>133</v>
      </c>
      <c r="D1" s="2" t="s">
        <v>134</v>
      </c>
      <c r="E1" s="2" t="s">
        <v>135</v>
      </c>
    </row>
    <row r="2" customFormat="false" ht="13.5" hidden="false" customHeight="false" outlineLevel="0" collapsed="false">
      <c r="A2" s="2" t="s">
        <v>136</v>
      </c>
      <c r="B2" s="2" t="s">
        <v>137</v>
      </c>
      <c r="C2" s="2" t="n">
        <v>2</v>
      </c>
      <c r="E2" s="2" t="s">
        <v>138</v>
      </c>
    </row>
    <row r="3" customFormat="false" ht="13.5" hidden="false" customHeight="false" outlineLevel="0" collapsed="false">
      <c r="A3" s="2" t="s">
        <v>139</v>
      </c>
      <c r="B3" s="2" t="s">
        <v>137</v>
      </c>
      <c r="C3" s="2" t="n">
        <v>10</v>
      </c>
      <c r="D3" s="2" t="n">
        <v>1</v>
      </c>
      <c r="E3" s="2" t="s">
        <v>138</v>
      </c>
    </row>
    <row r="4" customFormat="false" ht="13.5" hidden="false" customHeight="false" outlineLevel="0" collapsed="false">
      <c r="A4" s="2" t="s">
        <v>140</v>
      </c>
      <c r="B4" s="2" t="s">
        <v>137</v>
      </c>
      <c r="C4" s="2" t="n">
        <v>4</v>
      </c>
      <c r="E4" s="2" t="s">
        <v>141</v>
      </c>
    </row>
    <row r="5" customFormat="false" ht="13.5" hidden="false" customHeight="false" outlineLevel="0" collapsed="false">
      <c r="A5" s="2" t="s">
        <v>142</v>
      </c>
      <c r="B5" s="2" t="s">
        <v>137</v>
      </c>
      <c r="C5" s="2" t="n">
        <v>1000</v>
      </c>
      <c r="E5" s="2" t="s">
        <v>143</v>
      </c>
    </row>
    <row r="7" customFormat="false" ht="13.5" hidden="false" customHeight="false" outlineLevel="0" collapsed="false">
      <c r="A7" s="2" t="s">
        <v>144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H15" activeCellId="0" sqref="H15"/>
    </sheetView>
  </sheetViews>
  <sheetFormatPr defaultColWidth="9.00390625" defaultRowHeight="13.5" customHeight="true" zeroHeight="false" outlineLevelRow="0" outlineLevelCol="0"/>
  <cols>
    <col collapsed="false" customWidth="true" hidden="false" outlineLevel="0" max="1" min="1" style="2" width="14.13"/>
  </cols>
  <sheetData>
    <row r="1" customFormat="false" ht="13.5" hidden="false" customHeight="false" outlineLevel="0" collapsed="false">
      <c r="A1" s="1" t="s">
        <v>25</v>
      </c>
      <c r="B1" s="1" t="s">
        <v>31</v>
      </c>
      <c r="C1" s="2" t="s">
        <v>145</v>
      </c>
    </row>
    <row r="2" customFormat="false" ht="13.5" hidden="false" customHeight="false" outlineLevel="0" collapsed="false">
      <c r="A2" s="10" t="s">
        <v>146</v>
      </c>
      <c r="B2" s="10" t="n">
        <v>1</v>
      </c>
    </row>
    <row r="3" customFormat="false" ht="13.5" hidden="false" customHeight="false" outlineLevel="0" collapsed="false">
      <c r="A3" s="10" t="s">
        <v>147</v>
      </c>
      <c r="B3" s="10" t="n">
        <v>2</v>
      </c>
    </row>
    <row r="4" customFormat="false" ht="13.5" hidden="false" customHeight="false" outlineLevel="0" collapsed="false">
      <c r="A4" s="10" t="s">
        <v>39</v>
      </c>
      <c r="B4" s="10" t="n">
        <v>3</v>
      </c>
    </row>
    <row r="5" customFormat="false" ht="13.5" hidden="false" customHeight="false" outlineLevel="0" collapsed="false">
      <c r="A5" s="10" t="s">
        <v>43</v>
      </c>
      <c r="B5" s="10" t="n">
        <v>4</v>
      </c>
    </row>
    <row r="6" customFormat="false" ht="13.5" hidden="false" customHeight="false" outlineLevel="0" collapsed="false">
      <c r="A6" s="11" t="s">
        <v>44</v>
      </c>
      <c r="B6" s="10" t="n">
        <v>5</v>
      </c>
    </row>
    <row r="7" customFormat="false" ht="13.5" hidden="false" customHeight="false" outlineLevel="0" collapsed="false">
      <c r="A7" s="10" t="s">
        <v>45</v>
      </c>
      <c r="B7" s="10" t="n">
        <v>6</v>
      </c>
    </row>
    <row r="8" customFormat="false" ht="13.5" hidden="false" customHeight="false" outlineLevel="0" collapsed="false">
      <c r="A8" s="10" t="s">
        <v>47</v>
      </c>
      <c r="B8" s="10" t="n">
        <v>7</v>
      </c>
    </row>
    <row r="9" customFormat="false" ht="13.5" hidden="false" customHeight="false" outlineLevel="0" collapsed="false">
      <c r="A9" s="10" t="s">
        <v>49</v>
      </c>
      <c r="B9" s="10" t="n">
        <v>8</v>
      </c>
    </row>
    <row r="10" customFormat="false" ht="13.5" hidden="false" customHeight="false" outlineLevel="0" collapsed="false">
      <c r="A10" s="10" t="s">
        <v>51</v>
      </c>
      <c r="B10" s="10" t="n">
        <v>9</v>
      </c>
    </row>
    <row r="11" customFormat="false" ht="13.5" hidden="false" customHeight="false" outlineLevel="0" collapsed="false">
      <c r="A11" s="10" t="s">
        <v>53</v>
      </c>
      <c r="B11" s="10" t="n">
        <v>10</v>
      </c>
    </row>
    <row r="12" customFormat="false" ht="13.5" hidden="false" customHeight="false" outlineLevel="0" collapsed="false">
      <c r="A12" s="10" t="s">
        <v>123</v>
      </c>
      <c r="B12" s="10" t="n">
        <v>11</v>
      </c>
    </row>
    <row r="13" customFormat="false" ht="13.5" hidden="false" customHeight="false" outlineLevel="0" collapsed="false">
      <c r="A13" s="11" t="s">
        <v>16</v>
      </c>
      <c r="B13" s="10" t="n">
        <v>12</v>
      </c>
    </row>
    <row r="14" customFormat="false" ht="13.5" hidden="false" customHeight="false" outlineLevel="0" collapsed="false">
      <c r="A14" s="12" t="s">
        <v>55</v>
      </c>
      <c r="B14" s="13" t="n">
        <v>13</v>
      </c>
    </row>
    <row r="15" customFormat="false" ht="13.5" hidden="false" customHeight="false" outlineLevel="0" collapsed="false">
      <c r="A15" s="12" t="s">
        <v>60</v>
      </c>
      <c r="B15" s="13" t="n">
        <v>14</v>
      </c>
    </row>
    <row r="16" customFormat="false" ht="13.5" hidden="false" customHeight="false" outlineLevel="0" collapsed="false">
      <c r="A16" s="12" t="s">
        <v>64</v>
      </c>
      <c r="B16" s="13" t="n">
        <v>15</v>
      </c>
    </row>
    <row r="17" customFormat="false" ht="13.5" hidden="false" customHeight="false" outlineLevel="0" collapsed="false">
      <c r="A17" s="12" t="s">
        <v>15</v>
      </c>
      <c r="B17" s="13" t="n">
        <v>16</v>
      </c>
    </row>
    <row r="18" customFormat="false" ht="13.5" hidden="false" customHeight="false" outlineLevel="0" collapsed="false">
      <c r="A18" s="12" t="s">
        <v>68</v>
      </c>
      <c r="B18" s="13" t="n">
        <v>17</v>
      </c>
    </row>
    <row r="19" customFormat="false" ht="13.5" hidden="false" customHeight="false" outlineLevel="0" collapsed="false">
      <c r="A19" s="12" t="s">
        <v>71</v>
      </c>
      <c r="B19" s="13" t="n">
        <v>18</v>
      </c>
    </row>
    <row r="20" customFormat="false" ht="13.5" hidden="false" customHeight="false" outlineLevel="0" collapsed="false">
      <c r="A20" s="12" t="s">
        <v>73</v>
      </c>
      <c r="B20" s="13" t="n">
        <v>20</v>
      </c>
    </row>
    <row r="21" customFormat="false" ht="13.5" hidden="false" customHeight="false" outlineLevel="0" collapsed="false">
      <c r="A21" s="12" t="s">
        <v>75</v>
      </c>
      <c r="B21" s="13" t="n">
        <v>21</v>
      </c>
    </row>
    <row r="22" customFormat="false" ht="13.5" hidden="false" customHeight="false" outlineLevel="0" collapsed="false">
      <c r="A22" s="14" t="s">
        <v>78</v>
      </c>
      <c r="B22" s="13" t="n">
        <v>22</v>
      </c>
    </row>
    <row r="23" customFormat="false" ht="13.5" hidden="false" customHeight="false" outlineLevel="0" collapsed="false">
      <c r="A23" s="14" t="s">
        <v>81</v>
      </c>
      <c r="B23" s="13" t="n">
        <v>23</v>
      </c>
    </row>
    <row r="24" customFormat="false" ht="13.5" hidden="false" customHeight="false" outlineLevel="0" collapsed="false">
      <c r="A24" s="12" t="s">
        <v>84</v>
      </c>
      <c r="B24" s="13" t="n">
        <v>24</v>
      </c>
    </row>
    <row r="25" customFormat="false" ht="13.5" hidden="false" customHeight="false" outlineLevel="0" collapsed="false">
      <c r="A25" s="12" t="s">
        <v>87</v>
      </c>
      <c r="B25" s="13" t="n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9.00390625" defaultRowHeight="13.5" customHeight="true" zeroHeight="false" outlineLevelRow="0" outlineLevelCol="0"/>
  <cols>
    <col collapsed="false" customWidth="true" hidden="false" outlineLevel="0" max="1" min="1" style="2" width="42.52"/>
    <col collapsed="false" customWidth="true" hidden="false" outlineLevel="0" max="2" min="2" style="2" width="50.63"/>
    <col collapsed="false" customWidth="true" hidden="false" outlineLevel="0" max="3" min="3" style="2" width="18.5"/>
    <col collapsed="false" customWidth="true" hidden="false" outlineLevel="0" max="4" min="4" style="2" width="14"/>
    <col collapsed="false" customWidth="true" hidden="false" outlineLevel="0" max="5" min="5" style="2" width="28.25"/>
    <col collapsed="false" customWidth="true" hidden="false" outlineLevel="0" max="6" min="6" style="2" width="49.63"/>
    <col collapsed="false" customWidth="true" hidden="false" outlineLevel="0" max="7" min="7" style="2" width="50.63"/>
  </cols>
  <sheetData>
    <row r="1" customFormat="false" ht="17.35" hidden="false" customHeight="false" outlineLevel="0" collapsed="false">
      <c r="A1" s="15" t="s">
        <v>148</v>
      </c>
      <c r="B1" s="15"/>
      <c r="C1" s="15"/>
      <c r="D1" s="15"/>
      <c r="E1" s="15"/>
      <c r="F1" s="15"/>
      <c r="G1" s="15"/>
    </row>
    <row r="2" customFormat="false" ht="16.85" hidden="false" customHeight="false" outlineLevel="0" collapsed="false">
      <c r="A2" s="16" t="s">
        <v>149</v>
      </c>
      <c r="B2" s="17" t="s">
        <v>150</v>
      </c>
      <c r="C2" s="16" t="s">
        <v>151</v>
      </c>
      <c r="D2" s="16" t="s">
        <v>152</v>
      </c>
      <c r="E2" s="16" t="s">
        <v>153</v>
      </c>
      <c r="F2" s="16" t="s">
        <v>154</v>
      </c>
      <c r="G2" s="17" t="s">
        <v>155</v>
      </c>
    </row>
    <row r="3" customFormat="false" ht="30.1" hidden="false" customHeight="false" outlineLevel="0" collapsed="false">
      <c r="A3" s="18" t="s">
        <v>156</v>
      </c>
      <c r="B3" s="19" t="s">
        <v>157</v>
      </c>
      <c r="C3" s="18" t="s">
        <v>158</v>
      </c>
      <c r="D3" s="18" t="s">
        <v>159</v>
      </c>
      <c r="E3" s="18" t="s">
        <v>160</v>
      </c>
      <c r="F3" s="18" t="b">
        <f aca="false">FALSE()</f>
        <v>0</v>
      </c>
      <c r="G3" s="19" t="s">
        <v>161</v>
      </c>
    </row>
    <row r="4" customFormat="false" ht="30.1" hidden="false" customHeight="false" outlineLevel="0" collapsed="false">
      <c r="A4" s="18" t="s">
        <v>162</v>
      </c>
      <c r="B4" s="19" t="s">
        <v>163</v>
      </c>
      <c r="C4" s="18" t="s">
        <v>162</v>
      </c>
      <c r="D4" s="18" t="s">
        <v>164</v>
      </c>
      <c r="E4" s="18" t="s">
        <v>165</v>
      </c>
      <c r="F4" s="18" t="b">
        <f aca="false">TRUE()</f>
        <v>1</v>
      </c>
      <c r="G4" s="19" t="s">
        <v>166</v>
      </c>
    </row>
    <row r="5" customFormat="false" ht="15.65" hidden="false" customHeight="false" outlineLevel="0" collapsed="false">
      <c r="A5" s="18" t="s">
        <v>167</v>
      </c>
      <c r="B5" s="19" t="s">
        <v>168</v>
      </c>
      <c r="C5" s="18" t="s">
        <v>169</v>
      </c>
      <c r="D5" s="18" t="s">
        <v>170</v>
      </c>
      <c r="E5" s="18" t="s">
        <v>171</v>
      </c>
      <c r="F5" s="18" t="b">
        <f aca="false">TRUE()</f>
        <v>1</v>
      </c>
      <c r="G5" s="19" t="s">
        <v>170</v>
      </c>
    </row>
    <row r="6" customFormat="false" ht="15.65" hidden="false" customHeight="false" outlineLevel="0" collapsed="false">
      <c r="A6" s="18" t="s">
        <v>172</v>
      </c>
      <c r="B6" s="19" t="s">
        <v>173</v>
      </c>
      <c r="C6" s="18" t="s">
        <v>174</v>
      </c>
      <c r="D6" s="18" t="s">
        <v>164</v>
      </c>
      <c r="E6" s="18" t="s">
        <v>165</v>
      </c>
      <c r="F6" s="18" t="b">
        <f aca="false">TRUE()</f>
        <v>1</v>
      </c>
      <c r="G6" s="19" t="s">
        <v>170</v>
      </c>
    </row>
    <row r="7" customFormat="false" ht="30.1" hidden="false" customHeight="false" outlineLevel="0" collapsed="false">
      <c r="A7" s="18" t="s">
        <v>175</v>
      </c>
      <c r="B7" s="19" t="s">
        <v>176</v>
      </c>
      <c r="C7" s="18" t="s">
        <v>158</v>
      </c>
      <c r="D7" s="18" t="s">
        <v>177</v>
      </c>
      <c r="E7" s="18" t="s">
        <v>178</v>
      </c>
      <c r="F7" s="18" t="b">
        <f aca="false">FALSE()</f>
        <v>0</v>
      </c>
      <c r="G7" s="19" t="s">
        <v>179</v>
      </c>
    </row>
    <row r="10" customFormat="false" ht="13.8" hidden="false" customHeight="false" outlineLevel="0" collapsed="false">
      <c r="A10" s="1" t="s">
        <v>128</v>
      </c>
      <c r="B10" s="1" t="s">
        <v>129</v>
      </c>
      <c r="C10" s="1"/>
      <c r="D10" s="1" t="s">
        <v>180</v>
      </c>
      <c r="E10" s="1" t="s">
        <v>181</v>
      </c>
      <c r="F10" s="1" t="n">
        <v>300</v>
      </c>
      <c r="G10" s="1" t="s">
        <v>42</v>
      </c>
    </row>
    <row r="11" customFormat="false" ht="13.5" hidden="false" customHeight="true" outlineLevel="0" collapsed="false">
      <c r="A11" s="20" t="s">
        <v>182</v>
      </c>
    </row>
    <row r="12" customFormat="false" ht="13.5" hidden="false" customHeight="true" outlineLevel="0" collapsed="false">
      <c r="A12" s="20" t="s">
        <v>183</v>
      </c>
      <c r="D12" s="2" t="s">
        <v>184</v>
      </c>
    </row>
    <row r="13" customFormat="false" ht="13.5" hidden="false" customHeight="true" outlineLevel="0" collapsed="false">
      <c r="A13" s="21" t="s">
        <v>185</v>
      </c>
      <c r="B13" s="22" t="s">
        <v>186</v>
      </c>
    </row>
    <row r="14" customFormat="false" ht="13.5" hidden="false" customHeight="true" outlineLevel="0" collapsed="false">
      <c r="A14" s="22" t="s">
        <v>187</v>
      </c>
    </row>
    <row r="15" customFormat="false" ht="13.5" hidden="false" customHeight="true" outlineLevel="0" collapsed="false">
      <c r="A15" s="22" t="s">
        <v>188</v>
      </c>
    </row>
    <row r="16" customFormat="false" ht="13.5" hidden="false" customHeight="true" outlineLevel="0" collapsed="false">
      <c r="A16" s="23" t="s">
        <v>189</v>
      </c>
      <c r="B16" s="24" t="s">
        <v>190</v>
      </c>
    </row>
    <row r="17" customFormat="false" ht="13.5" hidden="false" customHeight="true" outlineLevel="0" collapsed="false">
      <c r="A17" s="25" t="s">
        <v>191</v>
      </c>
      <c r="B17" s="2" t="n">
        <v>2</v>
      </c>
    </row>
    <row r="18" customFormat="false" ht="13.5" hidden="false" customHeight="true" outlineLevel="0" collapsed="false">
      <c r="A18" s="24" t="s">
        <v>192</v>
      </c>
      <c r="B18" s="2" t="n">
        <v>3</v>
      </c>
    </row>
    <row r="19" customFormat="false" ht="13.5" hidden="false" customHeight="true" outlineLevel="0" collapsed="false">
      <c r="A19" s="26" t="s">
        <v>193</v>
      </c>
      <c r="B19" s="2" t="n">
        <v>4</v>
      </c>
    </row>
    <row r="20" customFormat="false" ht="13.5" hidden="false" customHeight="true" outlineLevel="0" collapsed="false">
      <c r="A20" s="27" t="s">
        <v>194</v>
      </c>
      <c r="B20" s="2" t="n">
        <v>4</v>
      </c>
    </row>
    <row r="21" customFormat="false" ht="13.5" hidden="false" customHeight="true" outlineLevel="0" collapsed="false">
      <c r="A21" s="28" t="s">
        <v>195</v>
      </c>
      <c r="B21" s="2" t="n">
        <v>5</v>
      </c>
    </row>
    <row r="22" customFormat="false" ht="13.5" hidden="false" customHeight="true" outlineLevel="0" collapsed="false">
      <c r="A22" s="28" t="s">
        <v>196</v>
      </c>
      <c r="B22" s="2" t="n">
        <v>5</v>
      </c>
    </row>
    <row r="23" customFormat="false" ht="13.5" hidden="false" customHeight="true" outlineLevel="0" collapsed="false">
      <c r="A23" s="29" t="s">
        <v>197</v>
      </c>
      <c r="B23" s="2" t="n">
        <v>6</v>
      </c>
    </row>
    <row r="24" customFormat="false" ht="13.5" hidden="false" customHeight="true" outlineLevel="0" collapsed="false">
      <c r="A24" s="29" t="s">
        <v>198</v>
      </c>
      <c r="B24" s="2" t="n">
        <v>6</v>
      </c>
    </row>
    <row r="25" customFormat="false" ht="13.5" hidden="false" customHeight="true" outlineLevel="0" collapsed="false">
      <c r="A25" s="2" t="s">
        <v>199</v>
      </c>
      <c r="B25" s="2" t="s">
        <v>200</v>
      </c>
    </row>
    <row r="26" customFormat="false" ht="13.5" hidden="false" customHeight="true" outlineLevel="0" collapsed="false">
      <c r="A26" s="2" t="s">
        <v>201</v>
      </c>
    </row>
    <row r="27" customFormat="false" ht="13.5" hidden="false" customHeight="true" outlineLevel="0" collapsed="false">
      <c r="A27" s="2" t="s">
        <v>202</v>
      </c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11" activeCellId="0" sqref="D11"/>
    </sheetView>
  </sheetViews>
  <sheetFormatPr defaultColWidth="10.00390625" defaultRowHeight="14.25" customHeight="true" zeroHeight="false" outlineLevelRow="0" outlineLevelCol="0"/>
  <cols>
    <col collapsed="false" customWidth="false" hidden="false" outlineLevel="0" max="1" min="1" style="1" width="10"/>
    <col collapsed="false" customWidth="true" hidden="false" outlineLevel="0" max="2" min="2" style="1" width="30.5"/>
    <col collapsed="false" customWidth="false" hidden="false" outlineLevel="0" max="3" min="3" style="1" width="10"/>
  </cols>
  <sheetData>
    <row r="1" customFormat="false" ht="14.25" hidden="false" customHeight="false" outlineLevel="0" collapsed="false">
      <c r="A1" s="1" t="s">
        <v>25</v>
      </c>
      <c r="B1" s="1" t="s">
        <v>12</v>
      </c>
      <c r="C1" s="1" t="s">
        <v>203</v>
      </c>
    </row>
    <row r="2" customFormat="false" ht="14.25" hidden="false" customHeight="false" outlineLevel="0" collapsed="false">
      <c r="A2" s="1" t="s">
        <v>204</v>
      </c>
      <c r="B2" s="1" t="s">
        <v>205</v>
      </c>
      <c r="C2" s="30" t="n">
        <v>0.3</v>
      </c>
    </row>
    <row r="3" customFormat="false" ht="14.25" hidden="false" customHeight="false" outlineLevel="0" collapsed="false">
      <c r="A3" s="1" t="s">
        <v>206</v>
      </c>
      <c r="B3" s="1" t="s">
        <v>207</v>
      </c>
      <c r="C3" s="30" t="n">
        <v>0.5</v>
      </c>
    </row>
    <row r="4" customFormat="false" ht="14.25" hidden="false" customHeight="false" outlineLevel="0" collapsed="false">
      <c r="A4" s="3" t="s">
        <v>208</v>
      </c>
      <c r="B4" s="1" t="s">
        <v>42</v>
      </c>
      <c r="C4" s="30" t="n">
        <v>0.2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7" activeCellId="0" sqref="G27"/>
    </sheetView>
  </sheetViews>
  <sheetFormatPr defaultColWidth="11.03515625" defaultRowHeight="13.8" customHeight="true" zeroHeight="false" outlineLevelRow="0" outlineLevelCol="0"/>
  <cols>
    <col collapsed="false" customWidth="true" hidden="false" outlineLevel="0" max="2" min="2" style="31" width="7.88"/>
    <col collapsed="false" customWidth="true" hidden="false" outlineLevel="0" max="3" min="3" style="31" width="13.01"/>
    <col collapsed="false" customWidth="true" hidden="false" outlineLevel="0" max="4" min="4" style="31" width="11.3"/>
    <col collapsed="false" customWidth="true" hidden="false" outlineLevel="0" max="5" min="5" style="31" width="4.35"/>
    <col collapsed="false" customWidth="true" hidden="false" outlineLevel="0" max="6" min="6" style="31" width="36.45"/>
    <col collapsed="false" customWidth="true" hidden="false" outlineLevel="0" max="12" min="12" style="31" width="33.55"/>
  </cols>
  <sheetData>
    <row r="1" customFormat="false" ht="13.8" hidden="false" customHeight="false" outlineLevel="0" collapsed="false">
      <c r="A1" s="31" t="s">
        <v>25</v>
      </c>
      <c r="B1" s="31" t="s">
        <v>209</v>
      </c>
      <c r="C1" s="31" t="s">
        <v>210</v>
      </c>
      <c r="D1" s="31" t="s">
        <v>211</v>
      </c>
      <c r="F1" s="31" t="s">
        <v>212</v>
      </c>
      <c r="G1" s="1" t="s">
        <v>1</v>
      </c>
      <c r="H1" s="1" t="s">
        <v>2</v>
      </c>
      <c r="I1" s="1" t="s">
        <v>3</v>
      </c>
      <c r="J1" s="31" t="s">
        <v>213</v>
      </c>
      <c r="M1" s="26" t="s">
        <v>214</v>
      </c>
    </row>
    <row r="2" customFormat="false" ht="13.8" hidden="false" customHeight="false" outlineLevel="0" collapsed="false">
      <c r="A2" s="32" t="s">
        <v>215</v>
      </c>
      <c r="B2" s="31" t="s">
        <v>216</v>
      </c>
      <c r="C2" s="31" t="s">
        <v>217</v>
      </c>
      <c r="D2" s="31" t="s">
        <v>218</v>
      </c>
      <c r="E2" s="31" t="s">
        <v>219</v>
      </c>
      <c r="F2" s="31" t="s">
        <v>220</v>
      </c>
      <c r="G2" s="31" t="n">
        <v>30</v>
      </c>
      <c r="H2" s="31" t="n">
        <v>6</v>
      </c>
      <c r="I2" s="31" t="n">
        <v>3</v>
      </c>
    </row>
    <row r="3" customFormat="false" ht="13.8" hidden="false" customHeight="false" outlineLevel="0" collapsed="false">
      <c r="A3" s="33" t="s">
        <v>221</v>
      </c>
      <c r="B3" s="31" t="s">
        <v>222</v>
      </c>
      <c r="D3" s="31" t="s">
        <v>223</v>
      </c>
    </row>
    <row r="4" customFormat="false" ht="13.8" hidden="false" customHeight="false" outlineLevel="0" collapsed="false">
      <c r="A4" s="9" t="s">
        <v>224</v>
      </c>
      <c r="B4" s="31" t="s">
        <v>225</v>
      </c>
      <c r="C4" s="31" t="s">
        <v>226</v>
      </c>
      <c r="F4" s="31" t="s">
        <v>227</v>
      </c>
      <c r="J4" s="31" t="s">
        <v>228</v>
      </c>
    </row>
    <row r="5" customFormat="false" ht="13.8" hidden="false" customHeight="false" outlineLevel="0" collapsed="false">
      <c r="A5" s="34" t="s">
        <v>229</v>
      </c>
      <c r="B5" s="31" t="s">
        <v>230</v>
      </c>
    </row>
    <row r="6" customFormat="false" ht="13.8" hidden="false" customHeight="false" outlineLevel="0" collapsed="false">
      <c r="A6" s="34" t="s">
        <v>231</v>
      </c>
      <c r="B6" s="31" t="s">
        <v>225</v>
      </c>
      <c r="C6" s="31" t="s">
        <v>232</v>
      </c>
      <c r="F6" s="31" t="s">
        <v>233</v>
      </c>
    </row>
    <row r="7" customFormat="false" ht="13.8" hidden="false" customHeight="false" outlineLevel="0" collapsed="false">
      <c r="A7" s="35" t="s">
        <v>234</v>
      </c>
      <c r="B7" s="31" t="s">
        <v>235</v>
      </c>
      <c r="C7" s="31" t="s">
        <v>226</v>
      </c>
      <c r="D7" s="31" t="s">
        <v>236</v>
      </c>
    </row>
    <row r="8" customFormat="false" ht="13.8" hidden="false" customHeight="false" outlineLevel="0" collapsed="false">
      <c r="A8" s="34" t="s">
        <v>237</v>
      </c>
      <c r="B8" s="31" t="s">
        <v>238</v>
      </c>
      <c r="C8" s="31" t="s">
        <v>239</v>
      </c>
      <c r="D8" s="31" t="s">
        <v>240</v>
      </c>
      <c r="F8" s="31" t="s">
        <v>241</v>
      </c>
    </row>
    <row r="9" customFormat="false" ht="13.8" hidden="false" customHeight="false" outlineLevel="0" collapsed="false">
      <c r="A9" s="9" t="s">
        <v>242</v>
      </c>
      <c r="B9" s="31" t="s">
        <v>238</v>
      </c>
      <c r="D9" s="31" t="s">
        <v>43</v>
      </c>
    </row>
    <row r="10" customFormat="false" ht="13.8" hidden="false" customHeight="false" outlineLevel="0" collapsed="false">
      <c r="A10" s="33" t="s">
        <v>243</v>
      </c>
      <c r="D10" s="31" t="s">
        <v>244</v>
      </c>
    </row>
    <row r="11" customFormat="false" ht="24.05" hidden="false" customHeight="false" outlineLevel="0" collapsed="false">
      <c r="A11" s="34" t="s">
        <v>245</v>
      </c>
      <c r="B11" s="31" t="s">
        <v>246</v>
      </c>
      <c r="C11" s="31" t="s">
        <v>247</v>
      </c>
      <c r="F11" s="31" t="s">
        <v>248</v>
      </c>
    </row>
    <row r="12" customFormat="false" ht="13.8" hidden="false" customHeight="false" outlineLevel="0" collapsed="false">
      <c r="A12" s="34" t="s">
        <v>249</v>
      </c>
      <c r="B12" s="31" t="s">
        <v>250</v>
      </c>
      <c r="F12" s="31" t="s">
        <v>251</v>
      </c>
    </row>
    <row r="13" customFormat="false" ht="13.8" hidden="false" customHeight="false" outlineLevel="0" collapsed="false">
      <c r="A13" s="9" t="s">
        <v>252</v>
      </c>
      <c r="D13" s="31" t="s">
        <v>253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Roman,标准"&amp;12&amp;Kffffff&amp;A</oddHeader>
    <oddFooter>&amp;C&amp;"Times New Roman,标准"&amp;12&amp;Kffffff页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2015-06-06T02:19:00Z</dcterms:created>
  <dc:creator>cpyh</dc:creator>
  <dc:description/>
  <dc:language>zh-CN</dc:language>
  <cp:lastModifiedBy/>
  <dcterms:modified xsi:type="dcterms:W3CDTF">2025-11-05T22:43:27Z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