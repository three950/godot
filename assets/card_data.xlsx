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264E4486-436B-45ED-A367-3DD5419FEBAD}" xr6:coauthVersionLast="47" xr6:coauthVersionMax="47" xr10:uidLastSave="{00000000-0000-0000-0000-000000000000}"/>
  <bookViews>
    <workbookView xWindow="2280" yWindow="2265" windowWidth="21600" windowHeight="11175" tabRatio="500" activeTab="1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</sheets>
  <calcPr calcId="0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E5" i="4"/>
  <c r="E3" i="4"/>
  <c r="G13" i="3"/>
  <c r="G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<sst xmlns="http://schemas.openxmlformats.org/spreadsheetml/2006/main" count="288" uniqueCount="170">
  <si>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</si>
  <si>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</si>
  <si>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</si>
  <si>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</si>
  <si>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</si>
  <si>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</si>
  <si>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</si>
  <si>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</si>
  <si>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</si>
  <si>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</si>
  <si>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</si>
  <si>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</si>
  <si>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</si>
  <si>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</si>
  <si>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</si>
  <si>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</si>
  <si>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</si>
  <si>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</si>
  <si>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</si>
  <si>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</si>
  <si>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</si>
  <si>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</si>
  <si>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</si>
  <si>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</si>
  <si>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</si>
  <si>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</si>
  <si>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</si>
  <si>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</si>
  <si>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</si>
  <si>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</si>
  <si>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</si>
  <si>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</si>
  <si>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</si>
  <si>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</si>
  <si>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</si>
  <si>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</si>
  <si>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</si>
  <si>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</si>
  <si>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</si>
  <si>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</si>
  <si>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</si>
  <si>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</si>
  <si>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</si>
  <si>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</si>
  <si>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</si>
  <si>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</si>
  <si>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</si>
  <si>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</si>
  <si>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</si>
  <si>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</si>
  <si>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鱼汤</t>
  </si>
  <si>
    <t>拟态水</t>
  </si>
  <si>
    <t>无尽火药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</si>
  <si>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</si>
  <si>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</si>
  <si>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</si>
  <si>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</si>
  <si>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</si>
  <si>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</si>
  <si>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</si>
  <si>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</si>
  <si>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</si>
  <si>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</si>
  <si>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</si>
  <si>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</si>
  <si>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</si>
  <si>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</si>
  <si>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</si>
  <si>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骨头*骨头*化石树的树枝*石头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</si>
  <si>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</si>
  <si>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</si>
  <si>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</si>
  <si>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</si>
  <si>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</si>
  <si>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</si>
  <si>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</si>
  <si>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</si>
  <si>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</si>
  <si>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t>双手稿</t>
  </si>
  <si>
    <t>ATK+10</t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</si>
  <si>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</si>
  <si>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</si>
  <si>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</si>
  <si>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</si>
  <si>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</si>
  <si>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</si>
  <si>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</si>
  <si>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道具类型</t>
  </si>
  <si>
    <t>VALUE</t>
  </si>
  <si>
    <t>可以钓鱼</t>
  </si>
  <si>
    <t>被动道具</t>
  </si>
  <si>
    <t>时间静止之钟</t>
  </si>
  <si>
    <t>停止时间</t>
  </si>
  <si>
    <t>主动道具</t>
  </si>
  <si>
    <t>星之罗盘</t>
  </si>
  <si>
    <t>免疫迷失</t>
  </si>
  <si>
    <t>TURE</t>
  </si>
  <si>
    <t>愿望蛋</t>
  </si>
  <si>
    <t>不明</t>
  </si>
  <si>
    <t>等级</t>
  </si>
  <si>
    <t>效果</t>
  </si>
  <si>
    <t>属性</t>
  </si>
  <si>
    <t>only</t>
  </si>
  <si>
    <t>无尽锤</t>
  </si>
  <si>
    <t>敲击时产生爆炸造成大量伤害</t>
  </si>
  <si>
    <t>无尽的火</t>
  </si>
  <si>
    <t>四级太阳石</t>
  </si>
  <si>
    <t>独特的外观吸引商人花大价钱购买</t>
  </si>
  <si>
    <t>五级太阳石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</si>
  <si>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</si>
  <si>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</si>
  <si>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</si>
  <si>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</si>
  <si>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</si>
  <si>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</si>
  <si>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</si>
  <si>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</si>
  <si>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</si>
  <si>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</si>
  <si>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</si>
  <si>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</si>
  <si>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</si>
  <si>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</si>
  <si>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</si>
  <si>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</si>
  <si>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</si>
  <si>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</si>
  <si>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</si>
  <si>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</si>
  <si>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</si>
  <si>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</si>
  <si>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</si>
  <si>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</si>
  <si>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</si>
  <si>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</si>
  <si>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</si>
  <si>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</si>
  <si>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</si>
  <si>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</si>
  <si>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</si>
  <si>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</si>
  <si>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</si>
  <si>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</si>
  <si>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</si>
  <si>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</si>
  <si>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</si>
  <si>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</si>
  <si>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</si>
  <si>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</si>
  <si>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</si>
  <si>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</si>
  <si>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</si>
  <si>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</si>
  <si>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</si>
  <si>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</si>
  <si>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</si>
  <si>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</si>
  <si>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</si>
  <si>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</si>
  <si>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</si>
  <si>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</si>
  <si>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</si>
  <si>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</si>
  <si>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便携锅</t>
    <phoneticPr fontId="8" type="noConversion"/>
  </si>
  <si>
    <t>鱼*水*火*便携锅</t>
    <phoneticPr fontId="8" type="noConversion"/>
  </si>
  <si>
    <t>鸡蛋*水*火*便携锅</t>
    <phoneticPr fontId="8" type="noConversion"/>
  </si>
  <si>
    <t>火</t>
    <phoneticPr fontId="8" type="noConversion"/>
  </si>
  <si>
    <t>探窟稿</t>
    <phoneticPr fontId="8" type="noConversion"/>
  </si>
  <si>
    <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  <phoneticPr fontId="8" type="noConversion"/>
  </si>
  <si>
    <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</si>
</sst>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rgb="FF000000"/>
      <name val="等线"/>
      <charset val="1"/>
    </font>
    <font>
      <sz val="11"/>
      <color theme="1"/>
      <name val="宋体"/>
    </font>
    <font>
      <sz val="11"/>
      <color rgb="FF000000"/>
      <name val="宋体"/>
    </font>
    <font>
      <sz val="10.5"/>
      <color rgb="FF000000"/>
      <name val="宋体"/>
      <charset val="1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9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sz val="10.5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rgb="FFDAE3F3"/>
      </patternFill>
    </fill>
    <fill>
      <patternFill patternType="solid">
        <fgColor theme="8" tint="0.79998168889431442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justify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3" fillId="3" borderId="0" xfId="0" applyFont="1" applyFill="1" applyAlignment="1">
      <alignment horizontal="justify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9" fontId="1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justify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zoomScaleNormal="100" workbookViewId="0">
      <selection activeCell="A2" sqref="A2"/>
    </sheetView>
  </sheetViews>
  <sheetFormatPr defaultColWidth="10" defaultRowHeight="14.45" customHeight="1"/>
  <cols>
    <col min="1" max="4" width="10" style="2"/>
    <col min="5" max="5" width="11" style="2" customWidth="1"/>
    <col min="13" max="14" width="10" style="2"/>
    <col min="20" max="20" width="24.75" style="2" customWidth="1"/>
  </cols>
  <sheetData>
    <row r="1" spans="1:20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T1" s="2" t="s">
        <v>13</v>
      </c>
    </row>
    <row r="2" spans="1:20" ht="94.5">
      <c r="A2" s="2" t="s">
        <v>14</v>
      </c>
      <c r="B2" s="2">
        <v>10</v>
      </c>
      <c r="C2" s="2">
        <v>1</v>
      </c>
      <c r="D2" s="2">
        <v>0</v>
      </c>
      <c r="F2" s="2" t="s">
        <v>15</v>
      </c>
      <c r="G2" s="3" t="s">
        <v>16</v>
      </c>
      <c r="M2" s="2" t="s">
        <v>17</v>
      </c>
      <c r="T2" s="4" t="s">
        <v>18</v>
      </c>
    </row>
    <row r="3" spans="1:20" ht="81">
      <c r="A3" s="2" t="s">
        <v>19</v>
      </c>
      <c r="B3" s="2">
        <v>50</v>
      </c>
      <c r="C3" s="2">
        <v>5</v>
      </c>
      <c r="D3" s="2">
        <v>50</v>
      </c>
      <c r="M3" s="2" t="s">
        <v>20</v>
      </c>
      <c r="T3" s="4" t="s">
        <v>21</v>
      </c>
    </row>
    <row r="4" spans="1:20" ht="14.25">
      <c r="A4" s="2" t="s">
        <v>22</v>
      </c>
      <c r="B4" s="2">
        <v>30</v>
      </c>
      <c r="C4" s="2">
        <v>8</v>
      </c>
      <c r="D4" s="2">
        <v>5</v>
      </c>
      <c r="E4" s="2" t="s">
        <v>23</v>
      </c>
      <c r="M4" s="2" t="s">
        <v>24</v>
      </c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tabSelected="1" zoomScale="110" zoomScaleNormal="110" workbookViewId="0">
      <selection activeCell="E18" sqref="E18"/>
    </sheetView>
  </sheetViews>
  <sheetFormatPr defaultColWidth="10" defaultRowHeight="14.45" customHeight="1"/>
  <cols>
    <col min="1" max="1" width="8.875" style="2" customWidth="1"/>
    <col min="2" max="2" width="5.125" style="2" customWidth="1"/>
    <col min="3" max="3" width="5.375" style="2" customWidth="1"/>
    <col min="4" max="4" width="6.375" style="2" customWidth="1"/>
    <col min="5" max="5" width="19.75" style="2" customWidth="1"/>
    <col min="6" max="6" width="14.125" style="2" customWidth="1"/>
    <col min="7" max="8" width="6.375" style="2" customWidth="1"/>
    <col min="9" max="9" width="10.875" style="2" customWidth="1"/>
    <col min="10" max="10" width="30.375" style="2" customWidth="1"/>
  </cols>
  <sheetData>
    <row r="1" spans="1:10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12</v>
      </c>
    </row>
    <row r="2" spans="1:10">
      <c r="A2" s="2" t="s">
        <v>34</v>
      </c>
      <c r="B2" s="2" t="s">
        <v>35</v>
      </c>
      <c r="C2" s="2">
        <v>1</v>
      </c>
      <c r="D2" s="2">
        <v>0</v>
      </c>
      <c r="G2" s="2">
        <v>1</v>
      </c>
      <c r="H2" s="2">
        <v>1</v>
      </c>
      <c r="I2" s="2" t="b">
        <f>FALSE()</f>
        <v>0</v>
      </c>
      <c r="J2" s="2" t="s">
        <v>36</v>
      </c>
    </row>
    <row r="3" spans="1:10">
      <c r="A3" s="2" t="s">
        <v>37</v>
      </c>
      <c r="B3" s="2" t="s">
        <v>35</v>
      </c>
      <c r="C3" s="2">
        <v>1</v>
      </c>
      <c r="D3" s="2">
        <v>0</v>
      </c>
      <c r="G3" s="2">
        <v>2</v>
      </c>
      <c r="H3" s="2">
        <v>1</v>
      </c>
      <c r="I3" s="2" t="b">
        <f>FALSE()</f>
        <v>0</v>
      </c>
      <c r="J3" s="2" t="s">
        <v>38</v>
      </c>
    </row>
    <row r="4" spans="1:10">
      <c r="A4" s="2" t="s">
        <v>39</v>
      </c>
      <c r="B4" s="2" t="s">
        <v>40</v>
      </c>
      <c r="C4" s="2">
        <v>0</v>
      </c>
      <c r="D4" s="2">
        <v>0</v>
      </c>
      <c r="E4" s="3" t="s">
        <v>41</v>
      </c>
      <c r="G4" s="2">
        <v>3</v>
      </c>
      <c r="H4" s="2">
        <v>2</v>
      </c>
      <c r="I4" s="2" t="b">
        <f>FALSE()</f>
        <v>0</v>
      </c>
      <c r="J4" s="2" t="s">
        <v>42</v>
      </c>
    </row>
    <row r="5" spans="1:10">
      <c r="A5" s="2" t="s">
        <v>43</v>
      </c>
      <c r="B5" s="2" t="s">
        <v>40</v>
      </c>
      <c r="C5" s="2">
        <v>0</v>
      </c>
      <c r="D5" s="2">
        <v>0</v>
      </c>
      <c r="G5" s="2">
        <v>4</v>
      </c>
      <c r="H5" s="2">
        <v>3</v>
      </c>
      <c r="I5" s="2" t="b">
        <f>FALSE()</f>
        <v>0</v>
      </c>
      <c r="J5" s="2" t="s">
        <v>42</v>
      </c>
    </row>
    <row r="6" spans="1:10">
      <c r="A6" s="3" t="s">
        <v>44</v>
      </c>
      <c r="B6" s="2" t="s">
        <v>40</v>
      </c>
      <c r="C6" s="2">
        <v>0</v>
      </c>
      <c r="D6" s="2">
        <v>2</v>
      </c>
      <c r="G6" s="2">
        <v>5</v>
      </c>
      <c r="H6" s="2">
        <v>0</v>
      </c>
      <c r="I6" s="2" t="b">
        <f>FALSE()</f>
        <v>0</v>
      </c>
      <c r="J6" s="2" t="s">
        <v>42</v>
      </c>
    </row>
    <row r="7" spans="1:10">
      <c r="A7" s="2" t="s">
        <v>45</v>
      </c>
      <c r="B7" s="2" t="s">
        <v>35</v>
      </c>
      <c r="C7" s="2">
        <v>2</v>
      </c>
      <c r="D7" s="2">
        <v>0</v>
      </c>
      <c r="F7" s="2" t="s">
        <v>46</v>
      </c>
      <c r="G7" s="2">
        <v>6</v>
      </c>
      <c r="H7" s="2">
        <v>5</v>
      </c>
      <c r="I7" s="2" t="b">
        <f>FALSE()</f>
        <v>0</v>
      </c>
      <c r="J7" s="2" t="s">
        <v>42</v>
      </c>
    </row>
    <row r="8" spans="1:10">
      <c r="A8" s="2" t="s">
        <v>47</v>
      </c>
      <c r="B8" s="2" t="s">
        <v>35</v>
      </c>
      <c r="C8" s="2">
        <v>2</v>
      </c>
      <c r="D8" s="2">
        <v>0</v>
      </c>
      <c r="F8" s="2" t="s">
        <v>48</v>
      </c>
      <c r="G8" s="2">
        <v>7</v>
      </c>
      <c r="H8" s="2">
        <v>5</v>
      </c>
      <c r="I8" s="2" t="b">
        <f>FALSE()</f>
        <v>0</v>
      </c>
      <c r="J8" s="2" t="s">
        <v>42</v>
      </c>
    </row>
    <row r="9" spans="1:10">
      <c r="A9" s="2" t="s">
        <v>49</v>
      </c>
      <c r="B9" s="2" t="s">
        <v>35</v>
      </c>
      <c r="C9" s="2">
        <v>6</v>
      </c>
      <c r="D9" s="2">
        <v>1</v>
      </c>
      <c r="F9" s="17" t="s">
        <v>165</v>
      </c>
      <c r="G9" s="2">
        <v>8</v>
      </c>
      <c r="H9" s="2">
        <v>10</v>
      </c>
      <c r="I9" s="2" t="b">
        <f>FALSE()</f>
        <v>0</v>
      </c>
      <c r="J9" s="2" t="s">
        <v>42</v>
      </c>
    </row>
    <row r="10" spans="1:10">
      <c r="A10" s="2" t="s">
        <v>50</v>
      </c>
      <c r="B10" s="2" t="s">
        <v>35</v>
      </c>
      <c r="C10" s="2">
        <v>3</v>
      </c>
      <c r="D10" s="2">
        <v>2</v>
      </c>
      <c r="F10" s="17" t="s">
        <v>164</v>
      </c>
      <c r="G10" s="2">
        <v>9</v>
      </c>
      <c r="H10" s="2">
        <v>5</v>
      </c>
      <c r="I10" s="2" t="b">
        <f>FALSE()</f>
        <v>0</v>
      </c>
      <c r="J10" s="2" t="s">
        <v>42</v>
      </c>
    </row>
    <row r="11" spans="1:10">
      <c r="A11" s="2" t="s">
        <v>51</v>
      </c>
      <c r="B11" s="2" t="s">
        <v>35</v>
      </c>
      <c r="C11" s="2">
        <v>0</v>
      </c>
      <c r="D11" s="2">
        <v>2</v>
      </c>
      <c r="G11" s="2">
        <v>10</v>
      </c>
      <c r="H11" s="2">
        <v>0</v>
      </c>
      <c r="I11" s="2" t="b">
        <f>FALSE()</f>
        <v>0</v>
      </c>
      <c r="J11" s="2" t="s">
        <v>42</v>
      </c>
    </row>
    <row r="12" spans="1:10">
      <c r="A12" s="17" t="s">
        <v>166</v>
      </c>
      <c r="B12" s="2" t="s">
        <v>40</v>
      </c>
      <c r="C12" s="2">
        <v>0</v>
      </c>
      <c r="D12" s="2">
        <v>0</v>
      </c>
      <c r="E12" s="3"/>
      <c r="G12" s="2">
        <v>11</v>
      </c>
      <c r="H12" s="2">
        <v>100</v>
      </c>
      <c r="I12" s="2" t="b">
        <f>TRUE()</f>
        <v>1</v>
      </c>
      <c r="J12" s="2" t="s">
        <v>42</v>
      </c>
    </row>
    <row r="13" spans="1:10">
      <c r="A13" s="16" t="s">
        <v>163</v>
      </c>
      <c r="B13" s="3" t="s">
        <v>40</v>
      </c>
      <c r="C13" s="2">
        <v>0</v>
      </c>
      <c r="D13" s="2">
        <v>0</v>
      </c>
      <c r="G13" s="2">
        <v>12</v>
      </c>
      <c r="H13">
        <v>20</v>
      </c>
      <c r="I13" t="b">
        <f>FALSE()</f>
        <v>0</v>
      </c>
      <c r="J13" s="2" t="s">
        <v>42</v>
      </c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zoomScale="140" zoomScaleNormal="140" workbookViewId="0">
      <selection activeCell="E16" sqref="E16"/>
    </sheetView>
  </sheetViews>
  <sheetFormatPr defaultColWidth="10" defaultRowHeight="14.45" customHeight="1"/>
  <cols>
    <col min="1" max="1" width="14.125" style="2" customWidth="1"/>
    <col min="2" max="3" width="10" style="2"/>
    <col min="5" max="5" width="30.25" customWidth="1"/>
    <col min="6" max="7" width="10" style="2"/>
    <col min="8" max="8" width="6.625" style="2" customWidth="1"/>
  </cols>
  <sheetData>
    <row r="1" spans="1:8">
      <c r="A1" s="2" t="s">
        <v>25</v>
      </c>
      <c r="B1" s="2" t="s">
        <v>26</v>
      </c>
      <c r="C1" s="2" t="s">
        <v>29</v>
      </c>
      <c r="D1" t="s">
        <v>31</v>
      </c>
      <c r="E1" t="s">
        <v>30</v>
      </c>
      <c r="F1" s="2" t="s">
        <v>32</v>
      </c>
      <c r="G1" s="2" t="s">
        <v>33</v>
      </c>
      <c r="H1" s="2" t="s">
        <v>12</v>
      </c>
    </row>
    <row r="2" spans="1:8">
      <c r="A2" s="2" t="s">
        <v>53</v>
      </c>
      <c r="B2" s="2" t="s">
        <v>54</v>
      </c>
      <c r="C2" s="2" t="s">
        <v>55</v>
      </c>
      <c r="D2">
        <v>13</v>
      </c>
      <c r="F2" s="2">
        <v>5</v>
      </c>
      <c r="G2" s="2" t="s">
        <v>56</v>
      </c>
      <c r="H2" s="2" t="s">
        <v>57</v>
      </c>
    </row>
    <row r="3" spans="1:8">
      <c r="A3" s="2" t="s">
        <v>58</v>
      </c>
      <c r="B3" s="2" t="s">
        <v>59</v>
      </c>
      <c r="C3" s="2" t="s">
        <v>60</v>
      </c>
      <c r="D3">
        <v>14</v>
      </c>
      <c r="F3" s="2">
        <v>6</v>
      </c>
      <c r="G3" s="2" t="s">
        <v>56</v>
      </c>
      <c r="H3" s="2" t="s">
        <v>61</v>
      </c>
    </row>
    <row r="4" spans="1:8">
      <c r="A4" s="2" t="s">
        <v>62</v>
      </c>
      <c r="B4" s="2" t="s">
        <v>59</v>
      </c>
      <c r="C4" s="2" t="s">
        <v>63</v>
      </c>
      <c r="D4">
        <v>15</v>
      </c>
      <c r="F4" s="2">
        <v>7</v>
      </c>
      <c r="G4" s="2" t="s">
        <v>56</v>
      </c>
      <c r="H4" s="2" t="s">
        <v>61</v>
      </c>
    </row>
    <row r="5" spans="1:8" ht="14.25">
      <c r="A5" s="17" t="s">
        <v>167</v>
      </c>
      <c r="B5" s="2" t="s">
        <v>59</v>
      </c>
      <c r="C5" s="2" t="s">
        <v>64</v>
      </c>
      <c r="D5">
        <v>16</v>
      </c>
      <c r="E5" t="s">
        <v>65</v>
      </c>
      <c r="F5" s="2">
        <v>8</v>
      </c>
      <c r="G5" s="2" t="s">
        <v>56</v>
      </c>
      <c r="H5" s="2" t="s">
        <v>61</v>
      </c>
    </row>
    <row r="6" spans="1:8">
      <c r="A6" s="2" t="s">
        <v>66</v>
      </c>
      <c r="B6" s="2" t="s">
        <v>59</v>
      </c>
      <c r="C6" s="2" t="s">
        <v>67</v>
      </c>
      <c r="D6">
        <v>17</v>
      </c>
      <c r="E6" t="s">
        <v>68</v>
      </c>
      <c r="F6" s="2">
        <v>90</v>
      </c>
      <c r="G6" s="2" t="s">
        <v>56</v>
      </c>
      <c r="H6" s="2" t="s">
        <v>61</v>
      </c>
    </row>
    <row r="7" spans="1:8">
      <c r="A7" s="2" t="s">
        <v>69</v>
      </c>
      <c r="B7" s="2" t="s">
        <v>54</v>
      </c>
      <c r="C7" s="2" t="s">
        <v>70</v>
      </c>
      <c r="D7">
        <v>18</v>
      </c>
      <c r="F7" s="2">
        <v>10</v>
      </c>
      <c r="G7" s="2" t="s">
        <v>56</v>
      </c>
      <c r="H7" s="2" t="s">
        <v>57</v>
      </c>
    </row>
    <row r="8" spans="1:8">
      <c r="A8" s="2" t="s">
        <v>71</v>
      </c>
      <c r="B8" s="2" t="s">
        <v>59</v>
      </c>
      <c r="C8" s="2" t="s">
        <v>72</v>
      </c>
      <c r="D8">
        <v>20</v>
      </c>
      <c r="F8" s="2">
        <v>1</v>
      </c>
      <c r="G8" s="2" t="s">
        <v>56</v>
      </c>
      <c r="H8" s="2" t="s">
        <v>61</v>
      </c>
    </row>
    <row r="9" spans="1:8">
      <c r="A9" s="2" t="s">
        <v>73</v>
      </c>
      <c r="B9" s="2" t="s">
        <v>59</v>
      </c>
      <c r="C9" s="2" t="s">
        <v>74</v>
      </c>
      <c r="D9">
        <v>21</v>
      </c>
      <c r="E9" s="5" t="s">
        <v>75</v>
      </c>
      <c r="F9" s="2">
        <v>150</v>
      </c>
      <c r="G9" s="2" t="b">
        <f>TRUE()</f>
        <v>1</v>
      </c>
      <c r="H9" s="2" t="s">
        <v>61</v>
      </c>
    </row>
    <row r="10" spans="1:8" ht="14.45" customHeight="1">
      <c r="A10" s="5" t="s">
        <v>76</v>
      </c>
      <c r="B10" s="2" t="s">
        <v>59</v>
      </c>
      <c r="C10" s="2" t="s">
        <v>77</v>
      </c>
      <c r="D10">
        <v>22</v>
      </c>
      <c r="E10" s="18" t="s">
        <v>169</v>
      </c>
      <c r="F10" s="2">
        <v>100</v>
      </c>
      <c r="G10" s="2" t="s">
        <v>56</v>
      </c>
      <c r="H10" s="2" t="s">
        <v>61</v>
      </c>
    </row>
    <row r="11" spans="1:8" ht="14.45" customHeight="1">
      <c r="A11" s="5" t="s">
        <v>78</v>
      </c>
      <c r="B11" s="2" t="s">
        <v>59</v>
      </c>
      <c r="C11" s="2" t="s">
        <v>79</v>
      </c>
      <c r="D11">
        <v>23</v>
      </c>
      <c r="E11" s="18" t="s">
        <v>168</v>
      </c>
      <c r="F11" s="2">
        <v>200</v>
      </c>
      <c r="G11" s="2" t="s">
        <v>56</v>
      </c>
      <c r="H11" s="2" t="s">
        <v>61</v>
      </c>
    </row>
    <row r="12" spans="1:8">
      <c r="A12" s="2" t="s">
        <v>80</v>
      </c>
      <c r="B12" s="2" t="s">
        <v>59</v>
      </c>
      <c r="C12" s="2" t="s">
        <v>81</v>
      </c>
      <c r="D12">
        <v>24</v>
      </c>
      <c r="E12" s="5" t="s">
        <v>82</v>
      </c>
      <c r="F12" s="2">
        <v>60</v>
      </c>
      <c r="G12" s="2" t="s">
        <v>56</v>
      </c>
      <c r="H12" s="2" t="s">
        <v>61</v>
      </c>
    </row>
    <row r="13" spans="1:8">
      <c r="A13" s="2" t="s">
        <v>83</v>
      </c>
      <c r="B13" s="2" t="s">
        <v>54</v>
      </c>
      <c r="C13" s="2" t="s">
        <v>84</v>
      </c>
      <c r="D13">
        <v>25</v>
      </c>
      <c r="F13" s="2">
        <v>120</v>
      </c>
      <c r="G13" s="2" t="b">
        <f>TRUE()</f>
        <v>1</v>
      </c>
      <c r="H13" s="2" t="s">
        <v>57</v>
      </c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130" zoomScaleNormal="130" workbookViewId="0">
      <selection activeCell="G1" sqref="G1"/>
    </sheetView>
  </sheetViews>
  <sheetFormatPr defaultColWidth="10" defaultRowHeight="14.45" customHeight="1"/>
  <cols>
    <col min="1" max="1" width="10" style="2"/>
    <col min="2" max="2" width="8.875" style="2" customWidth="1"/>
    <col min="3" max="4" width="10" style="2"/>
    <col min="5" max="5" width="11.875" style="2" customWidth="1"/>
    <col min="6" max="7" width="10" style="2"/>
  </cols>
  <sheetData>
    <row r="1" spans="1:7" ht="14.25">
      <c r="A1" s="2" t="s">
        <v>25</v>
      </c>
      <c r="B1" s="2" t="s">
        <v>85</v>
      </c>
      <c r="C1" s="2" t="s">
        <v>86</v>
      </c>
      <c r="D1" s="2" t="s">
        <v>87</v>
      </c>
      <c r="E1" s="2" t="s">
        <v>33</v>
      </c>
      <c r="F1" s="2" t="s">
        <v>88</v>
      </c>
      <c r="G1" s="2" t="s">
        <v>12</v>
      </c>
    </row>
    <row r="2" spans="1:7" ht="14.25">
      <c r="A2" s="2" t="s">
        <v>23</v>
      </c>
      <c r="B2" s="2" t="s">
        <v>89</v>
      </c>
      <c r="D2" s="2" t="s">
        <v>90</v>
      </c>
      <c r="E2" s="2" t="s">
        <v>56</v>
      </c>
      <c r="F2" s="2">
        <v>1</v>
      </c>
      <c r="G2" s="2" t="s">
        <v>42</v>
      </c>
    </row>
    <row r="3" spans="1:7" ht="14.25">
      <c r="A3" s="2" t="s">
        <v>91</v>
      </c>
      <c r="B3" s="2" t="s">
        <v>92</v>
      </c>
      <c r="D3" s="2" t="s">
        <v>93</v>
      </c>
      <c r="E3" s="2" t="b">
        <f>TRUE()</f>
        <v>1</v>
      </c>
      <c r="F3" s="2">
        <v>20000</v>
      </c>
      <c r="G3" s="2" t="s">
        <v>42</v>
      </c>
    </row>
    <row r="4" spans="1:7" ht="14.25">
      <c r="A4" s="2" t="s">
        <v>94</v>
      </c>
      <c r="B4" s="2" t="s">
        <v>95</v>
      </c>
      <c r="D4" s="2" t="s">
        <v>90</v>
      </c>
      <c r="E4" s="2" t="s">
        <v>96</v>
      </c>
      <c r="F4" s="2">
        <v>300</v>
      </c>
      <c r="G4" s="2" t="s">
        <v>42</v>
      </c>
    </row>
    <row r="5" spans="1:7" ht="14.25">
      <c r="A5" s="2" t="s">
        <v>97</v>
      </c>
      <c r="B5" s="2" t="s">
        <v>98</v>
      </c>
      <c r="C5" s="2">
        <v>1</v>
      </c>
      <c r="D5" s="2" t="s">
        <v>93</v>
      </c>
      <c r="E5" s="2" t="b">
        <f>TRUE()</f>
        <v>1</v>
      </c>
      <c r="F5" s="2">
        <v>1</v>
      </c>
      <c r="G5" s="2" t="s">
        <v>42</v>
      </c>
    </row>
    <row r="6" spans="1:7" ht="14.25">
      <c r="A6"/>
      <c r="B6"/>
      <c r="C6"/>
      <c r="D6"/>
      <c r="E6"/>
      <c r="F6"/>
      <c r="G6"/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G11" sqref="G11"/>
    </sheetView>
  </sheetViews>
  <sheetFormatPr defaultColWidth="10" defaultRowHeight="14.45" customHeight="1"/>
  <cols>
    <col min="1" max="1" width="13" style="2" customWidth="1"/>
    <col min="2" max="2" width="10" style="2"/>
    <col min="3" max="3" width="27.5" style="2" customWidth="1"/>
    <col min="4" max="5" width="10" style="2"/>
  </cols>
  <sheetData>
    <row r="1" spans="1:5">
      <c r="A1" s="2" t="s">
        <v>25</v>
      </c>
      <c r="B1" s="2" t="s">
        <v>99</v>
      </c>
      <c r="C1" s="2" t="s">
        <v>100</v>
      </c>
      <c r="D1" s="2" t="s">
        <v>101</v>
      </c>
      <c r="E1" s="2" t="s">
        <v>32</v>
      </c>
    </row>
    <row r="2" spans="1:5">
      <c r="A2" s="2" t="s">
        <v>91</v>
      </c>
      <c r="B2" s="2">
        <v>0</v>
      </c>
      <c r="C2" s="2" t="s">
        <v>92</v>
      </c>
      <c r="D2" s="2" t="s">
        <v>102</v>
      </c>
      <c r="E2" s="2">
        <v>20000</v>
      </c>
    </row>
    <row r="3" spans="1:5">
      <c r="A3" s="2" t="s">
        <v>103</v>
      </c>
      <c r="B3" s="2">
        <v>1</v>
      </c>
      <c r="C3" s="2" t="s">
        <v>104</v>
      </c>
      <c r="D3" s="2" t="s">
        <v>102</v>
      </c>
      <c r="E3" s="2">
        <v>15000</v>
      </c>
    </row>
    <row r="4" spans="1:5">
      <c r="A4" s="2" t="s">
        <v>52</v>
      </c>
      <c r="B4" s="2">
        <v>2</v>
      </c>
      <c r="C4" s="2" t="s">
        <v>105</v>
      </c>
      <c r="D4" s="2" t="s">
        <v>102</v>
      </c>
      <c r="E4" s="2">
        <v>10000</v>
      </c>
    </row>
    <row r="5" spans="1:5">
      <c r="A5" s="2" t="s">
        <v>106</v>
      </c>
      <c r="B5" s="2">
        <v>4</v>
      </c>
      <c r="C5" s="2" t="s">
        <v>107</v>
      </c>
      <c r="E5" s="2">
        <v>300</v>
      </c>
    </row>
    <row r="6" spans="1:5">
      <c r="A6" s="2" t="s">
        <v>108</v>
      </c>
      <c r="B6" s="2">
        <v>5</v>
      </c>
      <c r="C6" s="2" t="s">
        <v>107</v>
      </c>
      <c r="E6" s="2">
        <v>100</v>
      </c>
    </row>
    <row r="7" spans="1:5">
      <c r="A7" s="2" t="s">
        <v>94</v>
      </c>
      <c r="B7" s="2">
        <v>4</v>
      </c>
      <c r="C7" s="2" t="s">
        <v>95</v>
      </c>
      <c r="E7" s="2">
        <v>300</v>
      </c>
    </row>
    <row r="8" spans="1:5">
      <c r="A8" s="2" t="s">
        <v>97</v>
      </c>
      <c r="B8" s="2" t="s">
        <v>98</v>
      </c>
      <c r="C8" s="2" t="s">
        <v>109</v>
      </c>
      <c r="E8" s="2" t="s">
        <v>98</v>
      </c>
    </row>
    <row r="30" spans="7:7">
      <c r="G30" s="2"/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9" customHeight="1"/>
  <sheetData>
    <row r="1" spans="1:5">
      <c r="B1" t="s">
        <v>26</v>
      </c>
      <c r="C1" t="s">
        <v>110</v>
      </c>
      <c r="D1" t="s">
        <v>111</v>
      </c>
      <c r="E1" t="s">
        <v>112</v>
      </c>
    </row>
    <row r="2" spans="1:5">
      <c r="A2" t="s">
        <v>113</v>
      </c>
      <c r="B2" t="s">
        <v>114</v>
      </c>
      <c r="C2">
        <v>2</v>
      </c>
      <c r="E2" t="s">
        <v>115</v>
      </c>
    </row>
    <row r="3" spans="1:5">
      <c r="A3" t="s">
        <v>116</v>
      </c>
      <c r="B3" t="s">
        <v>114</v>
      </c>
      <c r="C3">
        <v>10</v>
      </c>
      <c r="D3">
        <v>1</v>
      </c>
      <c r="E3" t="s">
        <v>115</v>
      </c>
    </row>
    <row r="4" spans="1:5">
      <c r="A4" t="s">
        <v>117</v>
      </c>
      <c r="B4" t="s">
        <v>114</v>
      </c>
      <c r="C4">
        <v>4</v>
      </c>
      <c r="E4" t="s">
        <v>118</v>
      </c>
    </row>
    <row r="5" spans="1:5">
      <c r="A5" t="s">
        <v>119</v>
      </c>
      <c r="B5" t="s">
        <v>114</v>
      </c>
      <c r="C5">
        <v>1000</v>
      </c>
      <c r="E5" t="s">
        <v>120</v>
      </c>
    </row>
    <row r="7" spans="1:5">
      <c r="A7" t="s">
        <v>121</v>
      </c>
    </row>
  </sheetData>
  <phoneticPr fontId="8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9" customHeight="1"/>
  <cols>
    <col min="1" max="1" width="14.125" customWidth="1"/>
  </cols>
  <sheetData>
    <row r="1" spans="1:3">
      <c r="A1" s="2" t="s">
        <v>25</v>
      </c>
      <c r="B1" s="2" t="s">
        <v>31</v>
      </c>
      <c r="C1" t="s">
        <v>122</v>
      </c>
    </row>
    <row r="2" spans="1:3">
      <c r="A2" s="6" t="s">
        <v>123</v>
      </c>
      <c r="B2" s="6">
        <v>1</v>
      </c>
    </row>
    <row r="3" spans="1:3">
      <c r="A3" s="6" t="s">
        <v>124</v>
      </c>
      <c r="B3" s="6">
        <v>2</v>
      </c>
    </row>
    <row r="4" spans="1:3">
      <c r="A4" s="6" t="s">
        <v>39</v>
      </c>
      <c r="B4" s="6">
        <v>3</v>
      </c>
    </row>
    <row r="5" spans="1:3">
      <c r="A5" s="6" t="s">
        <v>43</v>
      </c>
      <c r="B5" s="6">
        <v>4</v>
      </c>
    </row>
    <row r="6" spans="1:3">
      <c r="A6" s="7" t="s">
        <v>44</v>
      </c>
      <c r="B6" s="6">
        <v>5</v>
      </c>
    </row>
    <row r="7" spans="1:3">
      <c r="A7" s="6" t="s">
        <v>45</v>
      </c>
      <c r="B7" s="6">
        <v>6</v>
      </c>
    </row>
    <row r="8" spans="1:3">
      <c r="A8" s="6" t="s">
        <v>47</v>
      </c>
      <c r="B8" s="6">
        <v>7</v>
      </c>
    </row>
    <row r="9" spans="1:3">
      <c r="A9" s="6" t="s">
        <v>49</v>
      </c>
      <c r="B9" s="6">
        <v>8</v>
      </c>
    </row>
    <row r="10" spans="1:3">
      <c r="A10" s="6" t="s">
        <v>50</v>
      </c>
      <c r="B10" s="6">
        <v>9</v>
      </c>
    </row>
    <row r="11" spans="1:3">
      <c r="A11" s="6" t="s">
        <v>51</v>
      </c>
      <c r="B11" s="6">
        <v>10</v>
      </c>
    </row>
    <row r="12" spans="1:3">
      <c r="A12" s="6" t="s">
        <v>52</v>
      </c>
      <c r="B12" s="6">
        <v>11</v>
      </c>
    </row>
    <row r="13" spans="1:3">
      <c r="A13" s="7" t="s">
        <v>16</v>
      </c>
      <c r="B13" s="6">
        <v>12</v>
      </c>
    </row>
    <row r="14" spans="1:3">
      <c r="A14" s="8" t="s">
        <v>53</v>
      </c>
      <c r="B14" s="9">
        <v>13</v>
      </c>
    </row>
    <row r="15" spans="1:3">
      <c r="A15" s="8" t="s">
        <v>58</v>
      </c>
      <c r="B15" s="9">
        <v>14</v>
      </c>
    </row>
    <row r="16" spans="1:3">
      <c r="A16" s="8" t="s">
        <v>62</v>
      </c>
      <c r="B16" s="9">
        <v>15</v>
      </c>
    </row>
    <row r="17" spans="1:2">
      <c r="A17" s="8" t="s">
        <v>15</v>
      </c>
      <c r="B17" s="9">
        <v>16</v>
      </c>
    </row>
    <row r="18" spans="1:2">
      <c r="A18" s="8" t="s">
        <v>66</v>
      </c>
      <c r="B18" s="9">
        <v>17</v>
      </c>
    </row>
    <row r="19" spans="1:2">
      <c r="A19" s="8" t="s">
        <v>69</v>
      </c>
      <c r="B19" s="9">
        <v>18</v>
      </c>
    </row>
    <row r="20" spans="1:2">
      <c r="A20" s="8" t="s">
        <v>71</v>
      </c>
      <c r="B20" s="9">
        <v>20</v>
      </c>
    </row>
    <row r="21" spans="1:2">
      <c r="A21" s="8" t="s">
        <v>73</v>
      </c>
      <c r="B21" s="9">
        <v>21</v>
      </c>
    </row>
    <row r="22" spans="1:2">
      <c r="A22" s="10" t="s">
        <v>76</v>
      </c>
      <c r="B22" s="9">
        <v>22</v>
      </c>
    </row>
    <row r="23" spans="1:2">
      <c r="A23" s="10" t="s">
        <v>78</v>
      </c>
      <c r="B23" s="9">
        <v>23</v>
      </c>
    </row>
    <row r="24" spans="1:2">
      <c r="A24" s="8" t="s">
        <v>80</v>
      </c>
      <c r="B24" s="9">
        <v>24</v>
      </c>
    </row>
    <row r="25" spans="1:2">
      <c r="A25" s="8" t="s">
        <v>83</v>
      </c>
      <c r="B25" s="9">
        <v>25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"/>
  <sheetViews>
    <sheetView zoomScaleNormal="100" workbookViewId="0">
      <selection activeCell="B5" sqref="B5"/>
    </sheetView>
  </sheetViews>
  <sheetFormatPr defaultColWidth="9" defaultRowHeight="13.9" customHeight="1"/>
  <cols>
    <col min="1" max="1" width="9.62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1" t="s">
        <v>125</v>
      </c>
      <c r="B1" s="1"/>
      <c r="C1" s="1"/>
      <c r="D1" s="1"/>
      <c r="E1" s="1"/>
      <c r="F1" s="1"/>
      <c r="G1" s="1"/>
    </row>
    <row r="2" spans="1:7" ht="18">
      <c r="A2" s="11" t="s">
        <v>126</v>
      </c>
      <c r="B2" s="12" t="s">
        <v>127</v>
      </c>
      <c r="C2" s="11" t="s">
        <v>128</v>
      </c>
      <c r="D2" s="11" t="s">
        <v>129</v>
      </c>
      <c r="E2" s="11" t="s">
        <v>130</v>
      </c>
      <c r="F2" s="11" t="s">
        <v>131</v>
      </c>
      <c r="G2" s="12" t="s">
        <v>132</v>
      </c>
    </row>
    <row r="3" spans="1:7" ht="33">
      <c r="A3" s="13" t="s">
        <v>133</v>
      </c>
      <c r="B3" s="14" t="s">
        <v>134</v>
      </c>
      <c r="C3" s="13" t="s">
        <v>135</v>
      </c>
      <c r="D3" s="13" t="s">
        <v>136</v>
      </c>
      <c r="E3" s="13" t="s">
        <v>137</v>
      </c>
      <c r="F3" s="13" t="b">
        <f>FALSE()</f>
        <v>0</v>
      </c>
      <c r="G3" s="14" t="s">
        <v>138</v>
      </c>
    </row>
    <row r="4" spans="1:7" ht="33">
      <c r="A4" s="13" t="s">
        <v>139</v>
      </c>
      <c r="B4" s="14" t="s">
        <v>140</v>
      </c>
      <c r="C4" s="13" t="s">
        <v>139</v>
      </c>
      <c r="D4" s="13" t="s">
        <v>141</v>
      </c>
      <c r="E4" s="13" t="s">
        <v>142</v>
      </c>
      <c r="F4" s="13" t="b">
        <f>TRUE()</f>
        <v>1</v>
      </c>
      <c r="G4" s="14" t="s">
        <v>143</v>
      </c>
    </row>
    <row r="5" spans="1:7" ht="16.5">
      <c r="A5" s="13" t="s">
        <v>144</v>
      </c>
      <c r="B5" s="14" t="s">
        <v>145</v>
      </c>
      <c r="C5" s="13" t="s">
        <v>146</v>
      </c>
      <c r="D5" s="13" t="s">
        <v>147</v>
      </c>
      <c r="E5" s="13" t="s">
        <v>148</v>
      </c>
      <c r="F5" s="13" t="b">
        <f>TRUE()</f>
        <v>1</v>
      </c>
      <c r="G5" s="14" t="s">
        <v>147</v>
      </c>
    </row>
    <row r="6" spans="1:7" ht="16.5">
      <c r="A6" s="13" t="s">
        <v>149</v>
      </c>
      <c r="B6" s="14" t="s">
        <v>150</v>
      </c>
      <c r="C6" s="13" t="s">
        <v>151</v>
      </c>
      <c r="D6" s="13" t="s">
        <v>141</v>
      </c>
      <c r="E6" s="13" t="s">
        <v>142</v>
      </c>
      <c r="F6" s="13" t="b">
        <f>TRUE()</f>
        <v>1</v>
      </c>
      <c r="G6" s="14" t="s">
        <v>147</v>
      </c>
    </row>
    <row r="7" spans="1:7" ht="33">
      <c r="A7" s="13" t="s">
        <v>152</v>
      </c>
      <c r="B7" s="14" t="s">
        <v>153</v>
      </c>
      <c r="C7" s="13" t="s">
        <v>135</v>
      </c>
      <c r="D7" s="13" t="s">
        <v>154</v>
      </c>
      <c r="E7" s="13" t="s">
        <v>155</v>
      </c>
      <c r="F7" s="13" t="b">
        <f>FALSE()</f>
        <v>0</v>
      </c>
      <c r="G7" s="14" t="s">
        <v>156</v>
      </c>
    </row>
  </sheetData>
  <mergeCells count="1">
    <mergeCell ref="A1:G1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45" customHeight="1"/>
  <cols>
    <col min="1" max="1" width="10" style="2"/>
    <col min="2" max="2" width="30.5" style="2" customWidth="1"/>
    <col min="3" max="3" width="10" style="2"/>
  </cols>
  <sheetData>
    <row r="1" spans="1:3">
      <c r="A1" s="2" t="s">
        <v>25</v>
      </c>
      <c r="B1" s="2" t="s">
        <v>12</v>
      </c>
      <c r="C1" s="2" t="s">
        <v>157</v>
      </c>
    </row>
    <row r="2" spans="1:3">
      <c r="A2" s="2" t="s">
        <v>158</v>
      </c>
      <c r="B2" s="2" t="s">
        <v>159</v>
      </c>
      <c r="C2" s="15">
        <v>0.3</v>
      </c>
    </row>
    <row r="3" spans="1:3">
      <c r="A3" s="2" t="s">
        <v>160</v>
      </c>
      <c r="B3" s="2" t="s">
        <v>161</v>
      </c>
      <c r="C3" s="15">
        <v>0.5</v>
      </c>
    </row>
    <row r="4" spans="1:3">
      <c r="A4" s="3" t="s">
        <v>162</v>
      </c>
      <c r="B4" s="2" t="s">
        <v>42</v>
      </c>
      <c r="C4" s="15">
        <v>0.2</v>
      </c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2</cp:revision>
  <dcterms:created xsi:type="dcterms:W3CDTF">2015-06-06T02:19:00Z</dcterms:created>
  <dcterms:modified xsi:type="dcterms:W3CDTF">2025-10-28T03:12:34Z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